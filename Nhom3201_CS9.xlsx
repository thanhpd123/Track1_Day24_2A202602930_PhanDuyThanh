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ode\AITHUCCHIEN\Labs\Lab24\"/>
    </mc:Choice>
  </mc:AlternateContent>
  <xr:revisionPtr revIDLastSave="0" documentId="13_ncr:1_{38FAA115-F181-4B3C-A3B7-8E44BBAAE0D4}" xr6:coauthVersionLast="47" xr6:coauthVersionMax="47" xr10:uidLastSave="{00000000-0000-0000-0000-000000000000}"/>
  <bookViews>
    <workbookView xWindow="-108" yWindow="-108" windowWidth="23256" windowHeight="12576" tabRatio="816" firstSheet="3" activeTab="3"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81029" iterateDelta="1E-4"/>
</workbook>
</file>

<file path=xl/calcChain.xml><?xml version="1.0" encoding="utf-8"?>
<calcChain xmlns="http://schemas.openxmlformats.org/spreadsheetml/2006/main">
  <c r="D11" i="11" l="1"/>
  <c r="B11" i="11"/>
  <c r="D22" i="9"/>
  <c r="C22" i="9"/>
  <c r="B22" i="9"/>
  <c r="D19" i="9"/>
  <c r="C19" i="9"/>
  <c r="B19" i="9"/>
  <c r="D18" i="9"/>
  <c r="C18" i="9"/>
  <c r="B18" i="9"/>
  <c r="D16" i="9"/>
  <c r="D17" i="9" s="1"/>
  <c r="C16" i="9"/>
  <c r="C17" i="9" s="1"/>
  <c r="B16" i="9"/>
  <c r="B17" i="9" s="1"/>
  <c r="Y140" i="8"/>
  <c r="B132" i="8"/>
  <c r="G110" i="8"/>
  <c r="G104" i="8"/>
  <c r="K88" i="8"/>
  <c r="J88" i="8"/>
  <c r="I88" i="8"/>
  <c r="B142" i="8" s="1"/>
  <c r="H88" i="8"/>
  <c r="G88" i="8"/>
  <c r="F88" i="8"/>
  <c r="E88" i="8"/>
  <c r="D88" i="8"/>
  <c r="K87" i="8"/>
  <c r="J87" i="8"/>
  <c r="I87" i="8"/>
  <c r="B136" i="8" s="1"/>
  <c r="H87" i="8"/>
  <c r="G87" i="8"/>
  <c r="F87" i="8"/>
  <c r="E87" i="8"/>
  <c r="D87" i="8"/>
  <c r="O134" i="8" s="1"/>
  <c r="K86" i="8"/>
  <c r="J86" i="8"/>
  <c r="I86" i="8"/>
  <c r="B130" i="8" s="1"/>
  <c r="H86" i="8"/>
  <c r="G86" i="8"/>
  <c r="F86" i="8"/>
  <c r="E86" i="8"/>
  <c r="E128" i="8" s="1"/>
  <c r="D86" i="8"/>
  <c r="K85" i="8"/>
  <c r="J85" i="8"/>
  <c r="I85" i="8"/>
  <c r="B124" i="8" s="1"/>
  <c r="B126" i="8" s="1"/>
  <c r="H85" i="8"/>
  <c r="G85" i="8"/>
  <c r="F85" i="8"/>
  <c r="E85" i="8"/>
  <c r="D85" i="8"/>
  <c r="R122" i="8" s="1"/>
  <c r="K84" i="8"/>
  <c r="J84" i="8"/>
  <c r="I84" i="8"/>
  <c r="B118" i="8" s="1"/>
  <c r="B120" i="8" s="1"/>
  <c r="H84" i="8"/>
  <c r="G84" i="8"/>
  <c r="F84" i="8"/>
  <c r="E84" i="8"/>
  <c r="D84" i="8"/>
  <c r="Y116" i="8" s="1"/>
  <c r="K83" i="8"/>
  <c r="J83" i="8"/>
  <c r="B113" i="8" s="1"/>
  <c r="I83" i="8"/>
  <c r="B112" i="8" s="1"/>
  <c r="B114" i="8" s="1"/>
  <c r="H83" i="8"/>
  <c r="G83" i="8"/>
  <c r="F83" i="8"/>
  <c r="E83" i="8"/>
  <c r="U110" i="8" s="1"/>
  <c r="D83" i="8"/>
  <c r="O110" i="8" s="1"/>
  <c r="K82" i="8"/>
  <c r="J82" i="8"/>
  <c r="I82" i="8"/>
  <c r="B106" i="8" s="1"/>
  <c r="H82" i="8"/>
  <c r="G82" i="8"/>
  <c r="F82" i="8"/>
  <c r="E82" i="8"/>
  <c r="D82" i="8"/>
  <c r="T104" i="8" s="1"/>
  <c r="K81" i="8"/>
  <c r="J81" i="8"/>
  <c r="I81" i="8"/>
  <c r="B100" i="8" s="1"/>
  <c r="H81" i="8"/>
  <c r="G81" i="8"/>
  <c r="F81" i="8"/>
  <c r="E81" i="8"/>
  <c r="D81" i="8"/>
  <c r="P98" i="8" s="1"/>
  <c r="K80" i="8"/>
  <c r="J80" i="8"/>
  <c r="I80" i="8"/>
  <c r="B94" i="8" s="1"/>
  <c r="H80" i="8"/>
  <c r="G80" i="8"/>
  <c r="F80" i="8"/>
  <c r="E80" i="8"/>
  <c r="Z92" i="8" s="1"/>
  <c r="D80" i="8"/>
  <c r="B77" i="8"/>
  <c r="B76" i="8"/>
  <c r="B75" i="8"/>
  <c r="B74" i="8"/>
  <c r="C64" i="8"/>
  <c r="B64" i="8"/>
  <c r="B63" i="8"/>
  <c r="C62" i="8"/>
  <c r="B62" i="8"/>
  <c r="C61" i="8"/>
  <c r="B61" i="8"/>
  <c r="B60" i="8"/>
  <c r="B39" i="8"/>
  <c r="U36" i="8"/>
  <c r="R36" i="8"/>
  <c r="D36" i="8"/>
  <c r="B27" i="8"/>
  <c r="B25" i="8"/>
  <c r="B26" i="8" s="1"/>
  <c r="Z24" i="8"/>
  <c r="Y24" i="8"/>
  <c r="X24" i="8"/>
  <c r="W24" i="8"/>
  <c r="V24" i="8"/>
  <c r="U24" i="8"/>
  <c r="T24" i="8"/>
  <c r="S24" i="8"/>
  <c r="R24" i="8"/>
  <c r="Q24" i="8"/>
  <c r="P24" i="8"/>
  <c r="O24" i="8"/>
  <c r="N24" i="8"/>
  <c r="M24" i="8"/>
  <c r="L24" i="8"/>
  <c r="K24" i="8"/>
  <c r="J24" i="8"/>
  <c r="I24" i="8"/>
  <c r="H24" i="8"/>
  <c r="G24" i="8"/>
  <c r="F24" i="8"/>
  <c r="E24" i="8"/>
  <c r="D24" i="8"/>
  <c r="C24" i="8"/>
  <c r="N23" i="8"/>
  <c r="Z18" i="8"/>
  <c r="Z23" i="8" s="1"/>
  <c r="Y18" i="8"/>
  <c r="Y23" i="8" s="1"/>
  <c r="X18" i="8"/>
  <c r="X23" i="8" s="1"/>
  <c r="W18" i="8"/>
  <c r="W23" i="8" s="1"/>
  <c r="V18" i="8"/>
  <c r="V23" i="8" s="1"/>
  <c r="U18" i="8"/>
  <c r="U23" i="8" s="1"/>
  <c r="T18" i="8"/>
  <c r="T23" i="8" s="1"/>
  <c r="S18" i="8"/>
  <c r="S23" i="8" s="1"/>
  <c r="R18" i="8"/>
  <c r="R23" i="8" s="1"/>
  <c r="Q18" i="8"/>
  <c r="Q23" i="8" s="1"/>
  <c r="P18" i="8"/>
  <c r="P23" i="8" s="1"/>
  <c r="O18" i="8"/>
  <c r="O23" i="8" s="1"/>
  <c r="N18" i="8"/>
  <c r="M18" i="8"/>
  <c r="M23" i="8" s="1"/>
  <c r="L18" i="8"/>
  <c r="L23" i="8" s="1"/>
  <c r="K18" i="8"/>
  <c r="K23" i="8" s="1"/>
  <c r="J18" i="8"/>
  <c r="J23" i="8" s="1"/>
  <c r="I18" i="8"/>
  <c r="I23" i="8" s="1"/>
  <c r="H18" i="8"/>
  <c r="H23" i="8" s="1"/>
  <c r="G18" i="8"/>
  <c r="G23" i="8" s="1"/>
  <c r="F18" i="8"/>
  <c r="F23" i="8" s="1"/>
  <c r="E18" i="8"/>
  <c r="E23" i="8" s="1"/>
  <c r="D18" i="8"/>
  <c r="D23" i="8" s="1"/>
  <c r="C18" i="8"/>
  <c r="C23" i="8" s="1"/>
  <c r="Z12" i="8"/>
  <c r="T12" i="8"/>
  <c r="S12" i="8"/>
  <c r="Q12" i="8"/>
  <c r="N12" i="8"/>
  <c r="S6" i="8"/>
  <c r="S11" i="8" s="1"/>
  <c r="Q6" i="8"/>
  <c r="E6" i="8"/>
  <c r="D10" i="7"/>
  <c r="C10" i="7"/>
  <c r="C8" i="7"/>
  <c r="D13" i="6"/>
  <c r="B13" i="6"/>
  <c r="D12" i="6"/>
  <c r="B37" i="8" s="1"/>
  <c r="B12" i="6"/>
  <c r="B13" i="8" s="1"/>
  <c r="B15" i="8" s="1"/>
  <c r="D11" i="6"/>
  <c r="X36" i="8" s="1"/>
  <c r="B11" i="6"/>
  <c r="P12" i="8" s="1"/>
  <c r="D10" i="6"/>
  <c r="B22" i="6" s="1"/>
  <c r="B10" i="6"/>
  <c r="B10" i="7" s="1"/>
  <c r="D9" i="6"/>
  <c r="B9" i="6"/>
  <c r="B8" i="7" s="1"/>
  <c r="D8" i="6"/>
  <c r="B8" i="6"/>
  <c r="D7" i="6"/>
  <c r="B7" i="6"/>
  <c r="Z6" i="8" s="1"/>
  <c r="C17" i="5"/>
  <c r="B17" i="5"/>
  <c r="B18" i="5" s="1"/>
  <c r="G16" i="5"/>
  <c r="B31" i="5" s="1"/>
  <c r="C31" i="5" s="1"/>
  <c r="D31" i="5" s="1"/>
  <c r="D16" i="5"/>
  <c r="B30" i="5" s="1"/>
  <c r="C30" i="5" s="1"/>
  <c r="D30" i="5" s="1"/>
  <c r="G15" i="5"/>
  <c r="D15" i="5"/>
  <c r="B88" i="8" s="1"/>
  <c r="B24" i="4"/>
  <c r="E16" i="5" s="1"/>
  <c r="B23" i="4"/>
  <c r="B22" i="4"/>
  <c r="B21" i="4"/>
  <c r="G89" i="3"/>
  <c r="C88" i="3"/>
  <c r="G88" i="3" s="1"/>
  <c r="G87" i="3"/>
  <c r="C86" i="3"/>
  <c r="G86" i="3" s="1"/>
  <c r="C67" i="3"/>
  <c r="G67" i="3" s="1"/>
  <c r="C64" i="3"/>
  <c r="G64" i="3" s="1"/>
  <c r="C60" i="3"/>
  <c r="C59" i="3"/>
  <c r="C44" i="3"/>
  <c r="C37" i="3"/>
  <c r="F30" i="3"/>
  <c r="E28" i="3"/>
  <c r="D28" i="3"/>
  <c r="C28" i="3"/>
  <c r="E26" i="3"/>
  <c r="D26" i="3"/>
  <c r="C26" i="3"/>
  <c r="C40" i="3" s="1"/>
  <c r="E24" i="3"/>
  <c r="D24" i="3"/>
  <c r="C24" i="3"/>
  <c r="E22" i="3"/>
  <c r="D22" i="3"/>
  <c r="C22" i="3"/>
  <c r="F22" i="3" s="1"/>
  <c r="E21" i="3"/>
  <c r="D21" i="3"/>
  <c r="C21" i="3"/>
  <c r="C23" i="3" s="1"/>
  <c r="C25" i="3" s="1"/>
  <c r="B12" i="2"/>
  <c r="D20" i="9" l="1"/>
  <c r="D21" i="9"/>
  <c r="B20" i="9"/>
  <c r="B21" i="9"/>
  <c r="W98" i="8"/>
  <c r="O128" i="8"/>
  <c r="Y98" i="8"/>
  <c r="D134" i="8"/>
  <c r="U98" i="8"/>
  <c r="P134" i="8"/>
  <c r="F21" i="3"/>
  <c r="B125" i="8"/>
  <c r="H110" i="8"/>
  <c r="Q134" i="8"/>
  <c r="F28" i="3"/>
  <c r="G6" i="8"/>
  <c r="G11" i="8" s="1"/>
  <c r="Q11" i="8"/>
  <c r="Q110" i="8"/>
  <c r="D98" i="8"/>
  <c r="T110" i="8"/>
  <c r="E98" i="8"/>
  <c r="D23" i="3"/>
  <c r="F23" i="3" s="1"/>
  <c r="F32" i="3" s="1"/>
  <c r="J98" i="8"/>
  <c r="G116" i="8"/>
  <c r="Z11" i="8"/>
  <c r="B14" i="8"/>
  <c r="E12" i="8"/>
  <c r="L98" i="8"/>
  <c r="N116" i="8"/>
  <c r="G41" i="3"/>
  <c r="C41" i="3"/>
  <c r="B38" i="8"/>
  <c r="G12" i="8"/>
  <c r="Q98" i="8"/>
  <c r="X116" i="8"/>
  <c r="E11" i="8"/>
  <c r="F24" i="3"/>
  <c r="H12" i="8"/>
  <c r="C63" i="8"/>
  <c r="R98" i="8"/>
  <c r="E31" i="5"/>
  <c r="F31" i="5" s="1"/>
  <c r="E30" i="5"/>
  <c r="F30" i="5" s="1"/>
  <c r="S30" i="8"/>
  <c r="S35" i="8" s="1"/>
  <c r="T30" i="8"/>
  <c r="T35" i="8" s="1"/>
  <c r="H30" i="8"/>
  <c r="H35" i="8" s="1"/>
  <c r="Y30" i="8"/>
  <c r="Y35" i="8" s="1"/>
  <c r="M30" i="8"/>
  <c r="M35" i="8" s="1"/>
  <c r="Z30" i="8"/>
  <c r="Z35" i="8" s="1"/>
  <c r="N30" i="8"/>
  <c r="N35" i="8" s="1"/>
  <c r="W30" i="8"/>
  <c r="W35" i="8" s="1"/>
  <c r="K30" i="8"/>
  <c r="K35" i="8" s="1"/>
  <c r="B102" i="8"/>
  <c r="C61" i="3"/>
  <c r="C46" i="3"/>
  <c r="E15" i="5"/>
  <c r="B25" i="4"/>
  <c r="B5" i="10" s="1"/>
  <c r="C5" i="10" s="1"/>
  <c r="B27" i="4"/>
  <c r="B26" i="4"/>
  <c r="B19" i="5" s="1"/>
  <c r="G17" i="5"/>
  <c r="H16" i="5"/>
  <c r="B9" i="10"/>
  <c r="C9" i="10" s="1"/>
  <c r="D8" i="7"/>
  <c r="B21" i="6"/>
  <c r="C27" i="3"/>
  <c r="D32" i="3"/>
  <c r="B108" i="8"/>
  <c r="C58" i="3"/>
  <c r="F16" i="5"/>
  <c r="F6" i="8"/>
  <c r="F11" i="8" s="1"/>
  <c r="R6" i="8"/>
  <c r="R11" i="8" s="1"/>
  <c r="F12" i="8"/>
  <c r="R12" i="8"/>
  <c r="C19" i="8"/>
  <c r="L30" i="8"/>
  <c r="L35" i="8" s="1"/>
  <c r="X30" i="8"/>
  <c r="X35" i="8" s="1"/>
  <c r="S36" i="8"/>
  <c r="Y92" i="8"/>
  <c r="T6" i="8"/>
  <c r="T11" i="8" s="1"/>
  <c r="E36" i="8"/>
  <c r="V36" i="8"/>
  <c r="H6" i="8"/>
  <c r="H11" i="8" s="1"/>
  <c r="B29" i="5"/>
  <c r="C29" i="5" s="1"/>
  <c r="D29" i="5" s="1"/>
  <c r="I6" i="8"/>
  <c r="I11" i="8" s="1"/>
  <c r="U6" i="8"/>
  <c r="U11" i="8" s="1"/>
  <c r="I12" i="8"/>
  <c r="U12" i="8"/>
  <c r="C30" i="8"/>
  <c r="C35" i="8" s="1"/>
  <c r="O30" i="8"/>
  <c r="O35" i="8" s="1"/>
  <c r="F36" i="8"/>
  <c r="W36" i="8"/>
  <c r="B144" i="8"/>
  <c r="V92" i="8"/>
  <c r="J92" i="8"/>
  <c r="T92" i="8"/>
  <c r="H92" i="8"/>
  <c r="P92" i="8"/>
  <c r="D92" i="8"/>
  <c r="O92" i="8"/>
  <c r="C92" i="8"/>
  <c r="C93" i="8" s="1"/>
  <c r="E23" i="3"/>
  <c r="J6" i="8"/>
  <c r="J11" i="8" s="1"/>
  <c r="V6" i="8"/>
  <c r="V11" i="8" s="1"/>
  <c r="J12" i="8"/>
  <c r="V12" i="8"/>
  <c r="D30" i="8"/>
  <c r="D35" i="8" s="1"/>
  <c r="P30" i="8"/>
  <c r="P35" i="8" s="1"/>
  <c r="G36" i="8"/>
  <c r="B101" i="8"/>
  <c r="C60" i="8"/>
  <c r="C128" i="8"/>
  <c r="C129" i="8" s="1"/>
  <c r="D17" i="5"/>
  <c r="T36" i="8"/>
  <c r="H36" i="8"/>
  <c r="O36" i="8"/>
  <c r="C36" i="8"/>
  <c r="Z36" i="8"/>
  <c r="N36" i="8"/>
  <c r="Y36" i="8"/>
  <c r="M36" i="8"/>
  <c r="K6" i="8"/>
  <c r="K11" i="8" s="1"/>
  <c r="W6" i="8"/>
  <c r="W11" i="8" s="1"/>
  <c r="K12" i="8"/>
  <c r="W12" i="8"/>
  <c r="E30" i="8"/>
  <c r="E35" i="8" s="1"/>
  <c r="Q30" i="8"/>
  <c r="Q35" i="8" s="1"/>
  <c r="I36" i="8"/>
  <c r="B96" i="8"/>
  <c r="C32" i="3"/>
  <c r="L6" i="8"/>
  <c r="L11" i="8" s="1"/>
  <c r="X6" i="8"/>
  <c r="X11" i="8" s="1"/>
  <c r="L12" i="8"/>
  <c r="X12" i="8"/>
  <c r="F30" i="8"/>
  <c r="F35" i="8" s="1"/>
  <c r="R30" i="8"/>
  <c r="R35" i="8" s="1"/>
  <c r="J36" i="8"/>
  <c r="B95" i="8"/>
  <c r="P104" i="8"/>
  <c r="D104" i="8"/>
  <c r="S104" i="8"/>
  <c r="F104" i="8"/>
  <c r="R104" i="8"/>
  <c r="E104" i="8"/>
  <c r="Q104" i="8"/>
  <c r="C104" i="8"/>
  <c r="C105" i="8" s="1"/>
  <c r="O104" i="8"/>
  <c r="N104" i="8"/>
  <c r="Z104" i="8"/>
  <c r="M104" i="8"/>
  <c r="Y104" i="8"/>
  <c r="L104" i="8"/>
  <c r="X104" i="8"/>
  <c r="K104" i="8"/>
  <c r="W104" i="8"/>
  <c r="J104" i="8"/>
  <c r="V104" i="8"/>
  <c r="I104" i="8"/>
  <c r="U104" i="8"/>
  <c r="H104" i="8"/>
  <c r="G92" i="8"/>
  <c r="F26" i="3"/>
  <c r="F15" i="5"/>
  <c r="M6" i="8"/>
  <c r="M11" i="8" s="1"/>
  <c r="Y6" i="8"/>
  <c r="Y11" i="8" s="1"/>
  <c r="M12" i="8"/>
  <c r="Y12" i="8"/>
  <c r="G30" i="8"/>
  <c r="G35" i="8" s="1"/>
  <c r="K36" i="8"/>
  <c r="B137" i="8"/>
  <c r="B138" i="8"/>
  <c r="L92" i="8"/>
  <c r="N6" i="8"/>
  <c r="N11" i="8" s="1"/>
  <c r="L36" i="8"/>
  <c r="N92" i="8"/>
  <c r="C6" i="8"/>
  <c r="O6" i="8"/>
  <c r="O11" i="8" s="1"/>
  <c r="C12" i="8"/>
  <c r="O12" i="8"/>
  <c r="I30" i="8"/>
  <c r="I35" i="8" s="1"/>
  <c r="U30" i="8"/>
  <c r="U35" i="8" s="1"/>
  <c r="P36" i="8"/>
  <c r="H122" i="8"/>
  <c r="F122" i="8"/>
  <c r="S92" i="8"/>
  <c r="D6" i="8"/>
  <c r="D11" i="8" s="1"/>
  <c r="P6" i="8"/>
  <c r="P11" i="8" s="1"/>
  <c r="D12" i="8"/>
  <c r="J30" i="8"/>
  <c r="J35" i="8" s="1"/>
  <c r="V30" i="8"/>
  <c r="V35" i="8" s="1"/>
  <c r="Q36" i="8"/>
  <c r="T140" i="8"/>
  <c r="H140" i="8"/>
  <c r="S140" i="8"/>
  <c r="G140" i="8"/>
  <c r="R140" i="8"/>
  <c r="F140" i="8"/>
  <c r="Q140" i="8"/>
  <c r="E140" i="8"/>
  <c r="P140" i="8"/>
  <c r="D140" i="8"/>
  <c r="O140" i="8"/>
  <c r="C140" i="8"/>
  <c r="C141" i="8" s="1"/>
  <c r="V140" i="8"/>
  <c r="J140" i="8"/>
  <c r="X140" i="8"/>
  <c r="W140" i="8"/>
  <c r="U140" i="8"/>
  <c r="N140" i="8"/>
  <c r="M140" i="8"/>
  <c r="L140" i="8"/>
  <c r="K140" i="8"/>
  <c r="I140" i="8"/>
  <c r="Z140" i="8"/>
  <c r="X92" i="8"/>
  <c r="U122" i="8"/>
  <c r="R116" i="8"/>
  <c r="F116" i="8"/>
  <c r="Q116" i="8"/>
  <c r="E116" i="8"/>
  <c r="P116" i="8"/>
  <c r="D116" i="8"/>
  <c r="O116" i="8"/>
  <c r="C116" i="8"/>
  <c r="C117" i="8" s="1"/>
  <c r="V116" i="8"/>
  <c r="J116" i="8"/>
  <c r="C123" i="8"/>
  <c r="M98" i="8"/>
  <c r="Z98" i="8"/>
  <c r="C110" i="8"/>
  <c r="C111" i="8" s="1"/>
  <c r="P110" i="8"/>
  <c r="S116" i="8"/>
  <c r="V122" i="8"/>
  <c r="Q128" i="8"/>
  <c r="E134" i="8"/>
  <c r="N98" i="8"/>
  <c r="D110" i="8"/>
  <c r="T116" i="8"/>
  <c r="W122" i="8"/>
  <c r="R128" i="8"/>
  <c r="L134" i="8"/>
  <c r="Y110" i="8"/>
  <c r="M110" i="8"/>
  <c r="B131" i="8"/>
  <c r="E92" i="8"/>
  <c r="Q92" i="8"/>
  <c r="O98" i="8"/>
  <c r="E110" i="8"/>
  <c r="R110" i="8"/>
  <c r="U116" i="8"/>
  <c r="S128" i="8"/>
  <c r="N134" i="8"/>
  <c r="F92" i="8"/>
  <c r="R92" i="8"/>
  <c r="C98" i="8"/>
  <c r="C99" i="8" s="1"/>
  <c r="F110" i="8"/>
  <c r="S110" i="8"/>
  <c r="W116" i="8"/>
  <c r="E122" i="8"/>
  <c r="T128" i="8"/>
  <c r="S98" i="8"/>
  <c r="G98" i="8"/>
  <c r="B119" i="8"/>
  <c r="W134" i="8"/>
  <c r="K134" i="8"/>
  <c r="V134" i="8"/>
  <c r="J134" i="8"/>
  <c r="U134" i="8"/>
  <c r="I134" i="8"/>
  <c r="T134" i="8"/>
  <c r="H134" i="8"/>
  <c r="S134" i="8"/>
  <c r="G134" i="8"/>
  <c r="R134" i="8"/>
  <c r="F134" i="8"/>
  <c r="Y134" i="8"/>
  <c r="M134" i="8"/>
  <c r="I92" i="8"/>
  <c r="U92" i="8"/>
  <c r="F98" i="8"/>
  <c r="T98" i="8"/>
  <c r="I110" i="8"/>
  <c r="V110" i="8"/>
  <c r="H116" i="8"/>
  <c r="Z116" i="8"/>
  <c r="I122" i="8"/>
  <c r="X134" i="8"/>
  <c r="C20" i="9"/>
  <c r="C21" i="9"/>
  <c r="H98" i="8"/>
  <c r="J110" i="8"/>
  <c r="W110" i="8"/>
  <c r="I116" i="8"/>
  <c r="J122" i="8"/>
  <c r="Z134" i="8"/>
  <c r="Z128" i="8"/>
  <c r="N128" i="8"/>
  <c r="Y128" i="8"/>
  <c r="M128" i="8"/>
  <c r="X128" i="8"/>
  <c r="L128" i="8"/>
  <c r="W128" i="8"/>
  <c r="K128" i="8"/>
  <c r="V128" i="8"/>
  <c r="J128" i="8"/>
  <c r="U128" i="8"/>
  <c r="I128" i="8"/>
  <c r="P128" i="8"/>
  <c r="D128" i="8"/>
  <c r="K92" i="8"/>
  <c r="W92" i="8"/>
  <c r="I98" i="8"/>
  <c r="V98" i="8"/>
  <c r="K110" i="8"/>
  <c r="X110" i="8"/>
  <c r="K116" i="8"/>
  <c r="K122" i="8"/>
  <c r="F128" i="8"/>
  <c r="L110" i="8"/>
  <c r="Z110" i="8"/>
  <c r="L116" i="8"/>
  <c r="G128" i="8"/>
  <c r="B107" i="8"/>
  <c r="Q122" i="8"/>
  <c r="P122" i="8"/>
  <c r="D122" i="8"/>
  <c r="O122" i="8"/>
  <c r="C122" i="8"/>
  <c r="Z122" i="8"/>
  <c r="N122" i="8"/>
  <c r="Y122" i="8"/>
  <c r="M122" i="8"/>
  <c r="X122" i="8"/>
  <c r="L122" i="8"/>
  <c r="S122" i="8"/>
  <c r="G122" i="8"/>
  <c r="B143" i="8"/>
  <c r="M92" i="8"/>
  <c r="K98" i="8"/>
  <c r="X98" i="8"/>
  <c r="N110" i="8"/>
  <c r="M116" i="8"/>
  <c r="T122" i="8"/>
  <c r="H128" i="8"/>
  <c r="C134" i="8"/>
  <c r="C135" i="8" s="1"/>
  <c r="D25" i="3" l="1"/>
  <c r="D27" i="3" s="1"/>
  <c r="D29" i="3" s="1"/>
  <c r="D31" i="3" s="1"/>
  <c r="D111" i="8"/>
  <c r="D135" i="8"/>
  <c r="D105" i="8"/>
  <c r="D99" i="8"/>
  <c r="D117" i="8"/>
  <c r="G25" i="3"/>
  <c r="D19" i="8"/>
  <c r="B17" i="6"/>
  <c r="B23" i="5"/>
  <c r="D17" i="6"/>
  <c r="B22" i="5"/>
  <c r="C17" i="6"/>
  <c r="D141" i="8"/>
  <c r="D129" i="8"/>
  <c r="E32" i="3"/>
  <c r="E25" i="3"/>
  <c r="E27" i="3" s="1"/>
  <c r="E29" i="3" s="1"/>
  <c r="E31" i="3" s="1"/>
  <c r="C29" i="3"/>
  <c r="F27" i="3"/>
  <c r="B21" i="5"/>
  <c r="D123" i="8"/>
  <c r="D93" i="8"/>
  <c r="C88" i="8"/>
  <c r="C142" i="8" s="1"/>
  <c r="E29" i="5"/>
  <c r="F29" i="5" s="1"/>
  <c r="E17" i="5"/>
  <c r="G46" i="3"/>
  <c r="H15" i="5"/>
  <c r="C31" i="8"/>
  <c r="G23" i="3"/>
  <c r="C11" i="8"/>
  <c r="C7" i="8"/>
  <c r="G27" i="3" l="1"/>
  <c r="C143" i="8"/>
  <c r="C144" i="8"/>
  <c r="F29" i="3"/>
  <c r="C31" i="3"/>
  <c r="G31" i="3" s="1"/>
  <c r="E99" i="8"/>
  <c r="E105" i="8"/>
  <c r="D18" i="6"/>
  <c r="D6" i="7" s="1"/>
  <c r="C18" i="6"/>
  <c r="D21" i="8" s="1"/>
  <c r="B18" i="6"/>
  <c r="C9" i="8" s="1"/>
  <c r="D31" i="8"/>
  <c r="C32" i="8"/>
  <c r="D5" i="7"/>
  <c r="E123" i="8"/>
  <c r="F17" i="5"/>
  <c r="B5" i="7"/>
  <c r="E135" i="8"/>
  <c r="G29" i="3"/>
  <c r="B84" i="8"/>
  <c r="B85" i="8"/>
  <c r="B86" i="8"/>
  <c r="B80" i="8"/>
  <c r="B82" i="8"/>
  <c r="B83" i="8"/>
  <c r="B81" i="8"/>
  <c r="C5" i="7"/>
  <c r="B58" i="8"/>
  <c r="B72" i="8"/>
  <c r="B87" i="8"/>
  <c r="E93" i="8"/>
  <c r="D142" i="8"/>
  <c r="E141" i="8"/>
  <c r="E111" i="8"/>
  <c r="E117" i="8"/>
  <c r="E129" i="8"/>
  <c r="B32" i="5"/>
  <c r="C32" i="5" s="1"/>
  <c r="H17" i="5"/>
  <c r="E19" i="8"/>
  <c r="D20" i="8"/>
  <c r="D7" i="8"/>
  <c r="C8" i="8"/>
  <c r="F25" i="3"/>
  <c r="C20" i="8"/>
  <c r="B6" i="7" l="1"/>
  <c r="C10" i="8"/>
  <c r="C13" i="8" s="1"/>
  <c r="C14" i="8" s="1"/>
  <c r="D9" i="7"/>
  <c r="D11" i="7" s="1"/>
  <c r="D7" i="7"/>
  <c r="D12" i="7"/>
  <c r="C6" i="7"/>
  <c r="F105" i="8"/>
  <c r="E106" i="8"/>
  <c r="F129" i="8"/>
  <c r="E130" i="8"/>
  <c r="F117" i="8"/>
  <c r="F99" i="8"/>
  <c r="C15" i="8"/>
  <c r="C94" i="8"/>
  <c r="C130" i="8"/>
  <c r="D13" i="7"/>
  <c r="F135" i="8"/>
  <c r="B9" i="7"/>
  <c r="B11" i="7" s="1"/>
  <c r="B7" i="7"/>
  <c r="B12" i="7"/>
  <c r="E142" i="8"/>
  <c r="F141" i="8"/>
  <c r="C58" i="8"/>
  <c r="E112" i="8"/>
  <c r="F111" i="8"/>
  <c r="F31" i="3"/>
  <c r="G33" i="3" s="1"/>
  <c r="C49" i="3"/>
  <c r="C57" i="3"/>
  <c r="F19" i="8"/>
  <c r="E21" i="8"/>
  <c r="E20" i="8"/>
  <c r="E22" i="8" s="1"/>
  <c r="E25" i="8" s="1"/>
  <c r="C33" i="8"/>
  <c r="C34" i="8" s="1"/>
  <c r="C37" i="8" s="1"/>
  <c r="D144" i="8"/>
  <c r="D9" i="8"/>
  <c r="D8" i="8"/>
  <c r="D10" i="8" s="1"/>
  <c r="D13" i="8" s="1"/>
  <c r="E7" i="8"/>
  <c r="D22" i="8"/>
  <c r="D25" i="8" s="1"/>
  <c r="E31" i="8"/>
  <c r="D33" i="8"/>
  <c r="D32" i="8"/>
  <c r="D34" i="8" s="1"/>
  <c r="D37" i="8" s="1"/>
  <c r="D143" i="8"/>
  <c r="C86" i="8"/>
  <c r="D130" i="8" s="1"/>
  <c r="C80" i="8"/>
  <c r="D94" i="8" s="1"/>
  <c r="C82" i="8"/>
  <c r="C106" i="8" s="1"/>
  <c r="C83" i="8"/>
  <c r="C112" i="8" s="1"/>
  <c r="B59" i="8"/>
  <c r="C84" i="8"/>
  <c r="D118" i="8" s="1"/>
  <c r="C81" i="8"/>
  <c r="E100" i="8" s="1"/>
  <c r="C85" i="8"/>
  <c r="D124" i="8" s="1"/>
  <c r="C87" i="8"/>
  <c r="C136" i="8" s="1"/>
  <c r="C21" i="8"/>
  <c r="C22" i="8"/>
  <c r="C25" i="8" s="1"/>
  <c r="F123" i="8"/>
  <c r="F93" i="8"/>
  <c r="E143" i="8" l="1"/>
  <c r="B13" i="7"/>
  <c r="E136" i="8"/>
  <c r="E144" i="8"/>
  <c r="C100" i="8"/>
  <c r="E94" i="8"/>
  <c r="C118" i="8"/>
  <c r="C120" i="8" s="1"/>
  <c r="D112" i="8"/>
  <c r="C138" i="8"/>
  <c r="C137" i="8"/>
  <c r="C114" i="8"/>
  <c r="C113" i="8"/>
  <c r="C39" i="8"/>
  <c r="C38" i="8"/>
  <c r="E118" i="8"/>
  <c r="G129" i="8"/>
  <c r="F130" i="8"/>
  <c r="F118" i="8"/>
  <c r="G117" i="8"/>
  <c r="C102" i="8"/>
  <c r="C101" i="8"/>
  <c r="D136" i="8"/>
  <c r="C124" i="8"/>
  <c r="D15" i="8"/>
  <c r="G105" i="8"/>
  <c r="F106" i="8"/>
  <c r="C107" i="8"/>
  <c r="C108" i="8"/>
  <c r="F142" i="8"/>
  <c r="F143" i="8" s="1"/>
  <c r="G141" i="8"/>
  <c r="D14" i="8"/>
  <c r="C9" i="7"/>
  <c r="C12" i="7"/>
  <c r="B8" i="10" s="1"/>
  <c r="C8" i="10" s="1"/>
  <c r="C7" i="7"/>
  <c r="C26" i="8"/>
  <c r="C27" i="8"/>
  <c r="C95" i="8"/>
  <c r="C96" i="8"/>
  <c r="F31" i="8"/>
  <c r="E33" i="8"/>
  <c r="E32" i="8"/>
  <c r="E34" i="8" s="1"/>
  <c r="E37" i="8" s="1"/>
  <c r="F94" i="8"/>
  <c r="G93" i="8"/>
  <c r="F7" i="8"/>
  <c r="E8" i="8"/>
  <c r="E9" i="8"/>
  <c r="G19" i="8"/>
  <c r="F21" i="8"/>
  <c r="F20" i="8"/>
  <c r="F22" i="8" s="1"/>
  <c r="F25" i="8" s="1"/>
  <c r="D100" i="8"/>
  <c r="F112" i="8"/>
  <c r="G111" i="8"/>
  <c r="C62" i="3"/>
  <c r="G72" i="3"/>
  <c r="C132" i="8"/>
  <c r="C131" i="8"/>
  <c r="C59" i="8"/>
  <c r="D106" i="8"/>
  <c r="G53" i="3"/>
  <c r="C50" i="3"/>
  <c r="G50" i="3" s="1"/>
  <c r="E124" i="8"/>
  <c r="F124" i="8"/>
  <c r="G123" i="8"/>
  <c r="F136" i="8"/>
  <c r="G135" i="8"/>
  <c r="F100" i="8"/>
  <c r="G99" i="8"/>
  <c r="C119" i="8" l="1"/>
  <c r="H99" i="8"/>
  <c r="G100" i="8"/>
  <c r="G118" i="8"/>
  <c r="H117" i="8"/>
  <c r="D95" i="8"/>
  <c r="E95" i="8" s="1"/>
  <c r="F95" i="8" s="1"/>
  <c r="D107" i="8"/>
  <c r="E107" i="8" s="1"/>
  <c r="F107" i="8" s="1"/>
  <c r="D39" i="8"/>
  <c r="E39" i="8" s="1"/>
  <c r="D132" i="8"/>
  <c r="E132" i="8" s="1"/>
  <c r="F132" i="8" s="1"/>
  <c r="G132" i="8" s="1"/>
  <c r="G142" i="8"/>
  <c r="G143" i="8" s="1"/>
  <c r="H141" i="8"/>
  <c r="D27" i="8"/>
  <c r="E27" i="8" s="1"/>
  <c r="F27" i="8" s="1"/>
  <c r="E10" i="8"/>
  <c r="E13" i="8" s="1"/>
  <c r="E14" i="8" s="1"/>
  <c r="F9" i="8"/>
  <c r="F8" i="8"/>
  <c r="F10" i="8" s="1"/>
  <c r="F13" i="8" s="1"/>
  <c r="G7" i="8"/>
  <c r="H129" i="8"/>
  <c r="G130" i="8"/>
  <c r="D113" i="8"/>
  <c r="E113" i="8" s="1"/>
  <c r="F113" i="8" s="1"/>
  <c r="C68" i="3"/>
  <c r="G94" i="8"/>
  <c r="H93" i="8"/>
  <c r="B6" i="10"/>
  <c r="C6" i="10" s="1"/>
  <c r="B73" i="8"/>
  <c r="H105" i="8"/>
  <c r="G106" i="8"/>
  <c r="D119" i="8"/>
  <c r="E119" i="8" s="1"/>
  <c r="F119" i="8" s="1"/>
  <c r="D102" i="8"/>
  <c r="E102" i="8" s="1"/>
  <c r="F102" i="8" s="1"/>
  <c r="G62" i="3"/>
  <c r="D120" i="8"/>
  <c r="E120" i="8" s="1"/>
  <c r="F120" i="8" s="1"/>
  <c r="G120" i="8" s="1"/>
  <c r="D114" i="8"/>
  <c r="E114" i="8" s="1"/>
  <c r="F114" i="8" s="1"/>
  <c r="D131" i="8"/>
  <c r="E131" i="8" s="1"/>
  <c r="F131" i="8" s="1"/>
  <c r="D26" i="8"/>
  <c r="E26" i="8" s="1"/>
  <c r="F26" i="8" s="1"/>
  <c r="C11" i="7"/>
  <c r="E15" i="8"/>
  <c r="F15" i="8" s="1"/>
  <c r="D137" i="8"/>
  <c r="E137" i="8" s="1"/>
  <c r="F137" i="8" s="1"/>
  <c r="D108" i="8"/>
  <c r="E108" i="8" s="1"/>
  <c r="F108" i="8" s="1"/>
  <c r="C126" i="8"/>
  <c r="C125" i="8"/>
  <c r="D138" i="8"/>
  <c r="E138" i="8" s="1"/>
  <c r="F138" i="8" s="1"/>
  <c r="H123" i="8"/>
  <c r="G124" i="8"/>
  <c r="G31" i="8"/>
  <c r="F33" i="8"/>
  <c r="F32" i="8"/>
  <c r="F34" i="8" s="1"/>
  <c r="F37" i="8" s="1"/>
  <c r="F144" i="8"/>
  <c r="D38" i="8"/>
  <c r="E38" i="8" s="1"/>
  <c r="F38" i="8" s="1"/>
  <c r="H19" i="8"/>
  <c r="G21" i="8"/>
  <c r="G20" i="8"/>
  <c r="G22" i="8" s="1"/>
  <c r="G25" i="8" s="1"/>
  <c r="G136" i="8"/>
  <c r="H135" i="8"/>
  <c r="G112" i="8"/>
  <c r="H111" i="8"/>
  <c r="C51" i="3"/>
  <c r="G52" i="3" s="1"/>
  <c r="D96" i="8"/>
  <c r="E96" i="8" s="1"/>
  <c r="F96" i="8" s="1"/>
  <c r="G96" i="8" s="1"/>
  <c r="D101" i="8"/>
  <c r="E101" i="8" s="1"/>
  <c r="F101" i="8" s="1"/>
  <c r="G51" i="3" l="1"/>
  <c r="F39" i="8"/>
  <c r="G119" i="8"/>
  <c r="F14" i="8"/>
  <c r="I99" i="8"/>
  <c r="H100" i="8"/>
  <c r="H130" i="8"/>
  <c r="H132" i="8" s="1"/>
  <c r="I129" i="8"/>
  <c r="C70" i="3"/>
  <c r="G71" i="3" s="1"/>
  <c r="G70" i="3"/>
  <c r="G26" i="8"/>
  <c r="G101" i="8"/>
  <c r="I19" i="8"/>
  <c r="H21" i="8"/>
  <c r="H20" i="8"/>
  <c r="H22" i="8" s="1"/>
  <c r="H25" i="8" s="1"/>
  <c r="D125" i="8"/>
  <c r="E125" i="8" s="1"/>
  <c r="F125" i="8" s="1"/>
  <c r="G125" i="8" s="1"/>
  <c r="H7" i="8"/>
  <c r="G8" i="8"/>
  <c r="G9" i="8"/>
  <c r="G138" i="8"/>
  <c r="G131" i="8"/>
  <c r="H106" i="8"/>
  <c r="I105" i="8"/>
  <c r="G107" i="8"/>
  <c r="B7" i="10"/>
  <c r="C7" i="10" s="1"/>
  <c r="C13" i="7"/>
  <c r="I123" i="8"/>
  <c r="H124" i="8"/>
  <c r="D126" i="8"/>
  <c r="E126" i="8" s="1"/>
  <c r="F126" i="8" s="1"/>
  <c r="G126" i="8" s="1"/>
  <c r="H126" i="8" s="1"/>
  <c r="G113" i="8"/>
  <c r="H31" i="8"/>
  <c r="G33" i="8"/>
  <c r="G32" i="8"/>
  <c r="H136" i="8"/>
  <c r="I135" i="8"/>
  <c r="G102" i="8"/>
  <c r="G144" i="8"/>
  <c r="G108" i="8"/>
  <c r="G114" i="8"/>
  <c r="H94" i="8"/>
  <c r="H96" i="8" s="1"/>
  <c r="I93" i="8"/>
  <c r="G27" i="8"/>
  <c r="G95" i="8"/>
  <c r="I117" i="8"/>
  <c r="H118" i="8"/>
  <c r="H119" i="8" s="1"/>
  <c r="H120" i="8"/>
  <c r="I111" i="8"/>
  <c r="H112" i="8"/>
  <c r="G137" i="8"/>
  <c r="G68" i="3"/>
  <c r="I141" i="8"/>
  <c r="H142" i="8"/>
  <c r="H143" i="8" s="1"/>
  <c r="H95" i="8" l="1"/>
  <c r="I142" i="8"/>
  <c r="I143" i="8" s="1"/>
  <c r="J141" i="8"/>
  <c r="H27" i="8"/>
  <c r="G34" i="8"/>
  <c r="G37" i="8" s="1"/>
  <c r="J123" i="8"/>
  <c r="I124" i="8"/>
  <c r="I126" i="8" s="1"/>
  <c r="G10" i="8"/>
  <c r="G13" i="8" s="1"/>
  <c r="G14" i="8" s="1"/>
  <c r="I7" i="8"/>
  <c r="H9" i="8"/>
  <c r="H8" i="8"/>
  <c r="H10" i="8" s="1"/>
  <c r="H13" i="8" s="1"/>
  <c r="I130" i="8"/>
  <c r="I132" i="8" s="1"/>
  <c r="J129" i="8"/>
  <c r="H107" i="8"/>
  <c r="H125" i="8"/>
  <c r="I118" i="8"/>
  <c r="I120" i="8" s="1"/>
  <c r="J117" i="8"/>
  <c r="H26" i="8"/>
  <c r="H102" i="8"/>
  <c r="I136" i="8"/>
  <c r="J135" i="8"/>
  <c r="H137" i="8"/>
  <c r="H114" i="8"/>
  <c r="J111" i="8"/>
  <c r="I112" i="8"/>
  <c r="H108" i="8"/>
  <c r="I106" i="8"/>
  <c r="J105" i="8"/>
  <c r="H138" i="8"/>
  <c r="J99" i="8"/>
  <c r="I100" i="8"/>
  <c r="I94" i="8"/>
  <c r="I96" i="8" s="1"/>
  <c r="J93" i="8"/>
  <c r="H113" i="8"/>
  <c r="H144" i="8"/>
  <c r="H131" i="8"/>
  <c r="J19" i="8"/>
  <c r="I21" i="8"/>
  <c r="I20" i="8"/>
  <c r="I22" i="8" s="1"/>
  <c r="I25" i="8" s="1"/>
  <c r="I31" i="8"/>
  <c r="H33" i="8"/>
  <c r="H32" i="8"/>
  <c r="H34" i="8" s="1"/>
  <c r="H37" i="8" s="1"/>
  <c r="H101" i="8"/>
  <c r="I101" i="8" l="1"/>
  <c r="I138" i="8"/>
  <c r="I102" i="8"/>
  <c r="F68" i="8"/>
  <c r="K19" i="8"/>
  <c r="J21" i="8"/>
  <c r="J20" i="8"/>
  <c r="J22" i="8" s="1"/>
  <c r="J25" i="8" s="1"/>
  <c r="I95" i="8"/>
  <c r="J7" i="8"/>
  <c r="I9" i="8"/>
  <c r="I8" i="8"/>
  <c r="I108" i="8"/>
  <c r="I26" i="8"/>
  <c r="G15" i="8"/>
  <c r="H15" i="8" s="1"/>
  <c r="J130" i="8"/>
  <c r="J132" i="8" s="1"/>
  <c r="K129" i="8"/>
  <c r="K105" i="8"/>
  <c r="J106" i="8"/>
  <c r="H14" i="8"/>
  <c r="I113" i="8"/>
  <c r="K117" i="8"/>
  <c r="J118" i="8"/>
  <c r="J120" i="8" s="1"/>
  <c r="J94" i="8"/>
  <c r="J96" i="8" s="1"/>
  <c r="K93" i="8"/>
  <c r="K111" i="8"/>
  <c r="J112" i="8"/>
  <c r="K123" i="8"/>
  <c r="J124" i="8"/>
  <c r="J126" i="8" s="1"/>
  <c r="I119" i="8"/>
  <c r="G38" i="8"/>
  <c r="G39" i="8"/>
  <c r="I131" i="8"/>
  <c r="J131" i="8" s="1"/>
  <c r="I144" i="8"/>
  <c r="I114" i="8"/>
  <c r="I125" i="8"/>
  <c r="J136" i="8"/>
  <c r="J138" i="8" s="1"/>
  <c r="K135" i="8"/>
  <c r="J31" i="8"/>
  <c r="I33" i="8"/>
  <c r="I32" i="8"/>
  <c r="I34" i="8" s="1"/>
  <c r="I37" i="8" s="1"/>
  <c r="K99" i="8"/>
  <c r="J100" i="8"/>
  <c r="J102" i="8" s="1"/>
  <c r="I27" i="8"/>
  <c r="I137" i="8"/>
  <c r="I107" i="8"/>
  <c r="K141" i="8"/>
  <c r="J142" i="8"/>
  <c r="J143" i="8" s="1"/>
  <c r="L99" i="8" l="1"/>
  <c r="K100" i="8"/>
  <c r="K102" i="8" s="1"/>
  <c r="H39" i="8"/>
  <c r="I39" i="8" s="1"/>
  <c r="J101" i="8"/>
  <c r="I10" i="8"/>
  <c r="I13" i="8" s="1"/>
  <c r="I15" i="8" s="1"/>
  <c r="J113" i="8"/>
  <c r="J33" i="8"/>
  <c r="J32" i="8"/>
  <c r="J34" i="8" s="1"/>
  <c r="J37" i="8" s="1"/>
  <c r="K31" i="8"/>
  <c r="J119" i="8"/>
  <c r="K7" i="8"/>
  <c r="J9" i="8"/>
  <c r="J8" i="8"/>
  <c r="J95" i="8"/>
  <c r="J26" i="8"/>
  <c r="K124" i="8"/>
  <c r="K126" i="8" s="1"/>
  <c r="L123" i="8"/>
  <c r="L105" i="8"/>
  <c r="K106" i="8"/>
  <c r="L141" i="8"/>
  <c r="K142" i="8"/>
  <c r="K143" i="8" s="1"/>
  <c r="K130" i="8"/>
  <c r="K132" i="8" s="1"/>
  <c r="L129" i="8"/>
  <c r="L111" i="8"/>
  <c r="K112" i="8"/>
  <c r="J114" i="8"/>
  <c r="L19" i="8"/>
  <c r="K21" i="8"/>
  <c r="K20" i="8"/>
  <c r="K22" i="8" s="1"/>
  <c r="K25" i="8" s="1"/>
  <c r="K118" i="8"/>
  <c r="K120" i="8" s="1"/>
  <c r="L117" i="8"/>
  <c r="J108" i="8"/>
  <c r="K108" i="8" s="1"/>
  <c r="H38" i="8"/>
  <c r="I38" i="8" s="1"/>
  <c r="D47" i="8"/>
  <c r="B10" i="10" s="1"/>
  <c r="C10" i="10" s="1"/>
  <c r="K136" i="8"/>
  <c r="K138" i="8" s="1"/>
  <c r="L135" i="8"/>
  <c r="J107" i="8"/>
  <c r="J125" i="8"/>
  <c r="J137" i="8"/>
  <c r="F64" i="8"/>
  <c r="K94" i="8"/>
  <c r="K96" i="8" s="1"/>
  <c r="L93" i="8"/>
  <c r="J27" i="8"/>
  <c r="J144" i="8"/>
  <c r="K144" i="8" s="1"/>
  <c r="K95" i="8" l="1"/>
  <c r="K131" i="8"/>
  <c r="I14" i="8"/>
  <c r="L138" i="8"/>
  <c r="L31" i="8"/>
  <c r="K33" i="8"/>
  <c r="K32" i="8"/>
  <c r="K34" i="8" s="1"/>
  <c r="K37" i="8" s="1"/>
  <c r="K113" i="8"/>
  <c r="K125" i="8"/>
  <c r="K114" i="8"/>
  <c r="L114" i="8" s="1"/>
  <c r="L112" i="8"/>
  <c r="M111" i="8"/>
  <c r="M19" i="8"/>
  <c r="L21" i="8"/>
  <c r="L20" i="8"/>
  <c r="L22" i="8" s="1"/>
  <c r="L25" i="8" s="1"/>
  <c r="J38" i="8"/>
  <c r="J10" i="8"/>
  <c r="J13" i="8" s="1"/>
  <c r="J15" i="8" s="1"/>
  <c r="K101" i="8"/>
  <c r="F58" i="8"/>
  <c r="L124" i="8"/>
  <c r="L126" i="8" s="1"/>
  <c r="M123" i="8"/>
  <c r="K107" i="8"/>
  <c r="L136" i="8"/>
  <c r="M135" i="8"/>
  <c r="K26" i="8"/>
  <c r="K27" i="8"/>
  <c r="L94" i="8"/>
  <c r="L96" i="8" s="1"/>
  <c r="M93" i="8"/>
  <c r="L7" i="8"/>
  <c r="K9" i="8"/>
  <c r="K8" i="8"/>
  <c r="K10" i="8" s="1"/>
  <c r="K13" i="8" s="1"/>
  <c r="J39" i="8"/>
  <c r="K39" i="8" s="1"/>
  <c r="L130" i="8"/>
  <c r="L131" i="8" s="1"/>
  <c r="M129" i="8"/>
  <c r="L118" i="8"/>
  <c r="L120" i="8" s="1"/>
  <c r="M117" i="8"/>
  <c r="M141" i="8"/>
  <c r="L142" i="8"/>
  <c r="L143" i="8" s="1"/>
  <c r="M105" i="8"/>
  <c r="L106" i="8"/>
  <c r="L108" i="8" s="1"/>
  <c r="K137" i="8"/>
  <c r="K119" i="8"/>
  <c r="M99" i="8"/>
  <c r="L100" i="8"/>
  <c r="L102" i="8" s="1"/>
  <c r="L132" i="8" l="1"/>
  <c r="L101" i="8"/>
  <c r="M101" i="8" s="1"/>
  <c r="K15" i="8"/>
  <c r="M114" i="8"/>
  <c r="M118" i="8"/>
  <c r="M120" i="8" s="1"/>
  <c r="N117" i="8"/>
  <c r="L125" i="8"/>
  <c r="M124" i="8"/>
  <c r="M126" i="8" s="1"/>
  <c r="N123" i="8"/>
  <c r="N105" i="8"/>
  <c r="M106" i="8"/>
  <c r="M108" i="8" s="1"/>
  <c r="M130" i="8"/>
  <c r="M132" i="8" s="1"/>
  <c r="N129" i="8"/>
  <c r="L95" i="8"/>
  <c r="L26" i="8"/>
  <c r="J14" i="8"/>
  <c r="K14" i="8" s="1"/>
  <c r="L113" i="8"/>
  <c r="M94" i="8"/>
  <c r="M96" i="8" s="1"/>
  <c r="N93" i="8"/>
  <c r="L27" i="8"/>
  <c r="L144" i="8"/>
  <c r="N141" i="8"/>
  <c r="M142" i="8"/>
  <c r="M143" i="8" s="1"/>
  <c r="K38" i="8"/>
  <c r="N111" i="8"/>
  <c r="M112" i="8"/>
  <c r="M102" i="8"/>
  <c r="L119" i="8"/>
  <c r="M119" i="8" s="1"/>
  <c r="F61" i="8"/>
  <c r="M21" i="8"/>
  <c r="M20" i="8"/>
  <c r="M22" i="8" s="1"/>
  <c r="M25" i="8" s="1"/>
  <c r="N19" i="8"/>
  <c r="M136" i="8"/>
  <c r="M138" i="8" s="1"/>
  <c r="N135" i="8"/>
  <c r="M100" i="8"/>
  <c r="N99" i="8"/>
  <c r="L137" i="8"/>
  <c r="M7" i="8"/>
  <c r="L9" i="8"/>
  <c r="L8" i="8"/>
  <c r="L10" i="8" s="1"/>
  <c r="L13" i="8" s="1"/>
  <c r="L15" i="8" s="1"/>
  <c r="L107" i="8"/>
  <c r="M107" i="8" s="1"/>
  <c r="M31" i="8"/>
  <c r="L33" i="8"/>
  <c r="L32" i="8"/>
  <c r="L34" i="8" s="1"/>
  <c r="L37" i="8" s="1"/>
  <c r="L39" i="8" s="1"/>
  <c r="N142" i="8" l="1"/>
  <c r="N143" i="8" s="1"/>
  <c r="O141" i="8"/>
  <c r="O129" i="8"/>
  <c r="N130" i="8"/>
  <c r="N132" i="8" s="1"/>
  <c r="M131" i="8"/>
  <c r="O135" i="8"/>
  <c r="N136" i="8"/>
  <c r="N138" i="8" s="1"/>
  <c r="M144" i="8"/>
  <c r="M95" i="8"/>
  <c r="M33" i="8"/>
  <c r="M32" i="8"/>
  <c r="N31" i="8"/>
  <c r="O105" i="8"/>
  <c r="N106" i="8"/>
  <c r="N108" i="8" s="1"/>
  <c r="N107" i="8"/>
  <c r="M27" i="8"/>
  <c r="N119" i="8"/>
  <c r="N94" i="8"/>
  <c r="N96" i="8" s="1"/>
  <c r="O93" i="8"/>
  <c r="N102" i="8"/>
  <c r="N124" i="8"/>
  <c r="N126" i="8" s="1"/>
  <c r="O123" i="8"/>
  <c r="O19" i="8"/>
  <c r="N21" i="8"/>
  <c r="N20" i="8"/>
  <c r="N22" i="8" s="1"/>
  <c r="N25" i="8" s="1"/>
  <c r="N7" i="8"/>
  <c r="M9" i="8"/>
  <c r="M8" i="8"/>
  <c r="M10" i="8" s="1"/>
  <c r="M13" i="8" s="1"/>
  <c r="M15" i="8" s="1"/>
  <c r="M113" i="8"/>
  <c r="M137" i="8"/>
  <c r="O111" i="8"/>
  <c r="N112" i="8"/>
  <c r="N114" i="8" s="1"/>
  <c r="L14" i="8"/>
  <c r="M14" i="8" s="1"/>
  <c r="M125" i="8"/>
  <c r="N100" i="8"/>
  <c r="N101" i="8" s="1"/>
  <c r="O99" i="8"/>
  <c r="N118" i="8"/>
  <c r="N120" i="8" s="1"/>
  <c r="O117" i="8"/>
  <c r="L38" i="8"/>
  <c r="M26" i="8"/>
  <c r="N26" i="8" s="1"/>
  <c r="N137" i="8" l="1"/>
  <c r="N131" i="8"/>
  <c r="M34" i="8"/>
  <c r="M37" i="8" s="1"/>
  <c r="M39" i="8" s="1"/>
  <c r="O31" i="8"/>
  <c r="N33" i="8"/>
  <c r="N32" i="8"/>
  <c r="N34" i="8" s="1"/>
  <c r="N37" i="8" s="1"/>
  <c r="N39" i="8" s="1"/>
  <c r="O142" i="8"/>
  <c r="O143" i="8" s="1"/>
  <c r="P141" i="8"/>
  <c r="O130" i="8"/>
  <c r="O132" i="8" s="1"/>
  <c r="P129" i="8"/>
  <c r="P111" i="8"/>
  <c r="O112" i="8"/>
  <c r="O114" i="8" s="1"/>
  <c r="N95" i="8"/>
  <c r="O118" i="8"/>
  <c r="O119" i="8" s="1"/>
  <c r="P117" i="8"/>
  <c r="O107" i="8"/>
  <c r="N144" i="8"/>
  <c r="O7" i="8"/>
  <c r="N9" i="8"/>
  <c r="N8" i="8"/>
  <c r="N10" i="8" s="1"/>
  <c r="N13" i="8" s="1"/>
  <c r="N14" i="8" s="1"/>
  <c r="P99" i="8"/>
  <c r="O100" i="8"/>
  <c r="O101" i="8" s="1"/>
  <c r="P135" i="8"/>
  <c r="O136" i="8"/>
  <c r="O137" i="8" s="1"/>
  <c r="O94" i="8"/>
  <c r="O96" i="8" s="1"/>
  <c r="P93" i="8"/>
  <c r="N113" i="8"/>
  <c r="M38" i="8"/>
  <c r="O21" i="8"/>
  <c r="O20" i="8"/>
  <c r="O22" i="8" s="1"/>
  <c r="O25" i="8" s="1"/>
  <c r="O26" i="8" s="1"/>
  <c r="P19" i="8"/>
  <c r="N27" i="8"/>
  <c r="O27" i="8" s="1"/>
  <c r="O131" i="8"/>
  <c r="N125" i="8"/>
  <c r="O125" i="8" s="1"/>
  <c r="O124" i="8"/>
  <c r="O126" i="8" s="1"/>
  <c r="P123" i="8"/>
  <c r="O106" i="8"/>
  <c r="O108" i="8" s="1"/>
  <c r="P105" i="8"/>
  <c r="O102" i="8" l="1"/>
  <c r="N15" i="8"/>
  <c r="P143" i="8"/>
  <c r="O120" i="8"/>
  <c r="Q19" i="8"/>
  <c r="P21" i="8"/>
  <c r="P20" i="8"/>
  <c r="P22" i="8" s="1"/>
  <c r="P25" i="8" s="1"/>
  <c r="P26" i="8" s="1"/>
  <c r="Q111" i="8"/>
  <c r="P112" i="8"/>
  <c r="P114" i="8" s="1"/>
  <c r="O138" i="8"/>
  <c r="P118" i="8"/>
  <c r="P119" i="8" s="1"/>
  <c r="Q117" i="8"/>
  <c r="P31" i="8"/>
  <c r="O33" i="8"/>
  <c r="O32" i="8"/>
  <c r="O34" i="8" s="1"/>
  <c r="O37" i="8" s="1"/>
  <c r="O39" i="8" s="1"/>
  <c r="Q99" i="8"/>
  <c r="P100" i="8"/>
  <c r="P102" i="8" s="1"/>
  <c r="P7" i="8"/>
  <c r="O9" i="8"/>
  <c r="O8" i="8"/>
  <c r="Q129" i="8"/>
  <c r="P130" i="8"/>
  <c r="P132" i="8" s="1"/>
  <c r="O95" i="8"/>
  <c r="Q135" i="8"/>
  <c r="P136" i="8"/>
  <c r="P137" i="8" s="1"/>
  <c r="Q105" i="8"/>
  <c r="P106" i="8"/>
  <c r="P107" i="8" s="1"/>
  <c r="P124" i="8"/>
  <c r="P126" i="8" s="1"/>
  <c r="Q123" i="8"/>
  <c r="N38" i="8"/>
  <c r="O38" i="8" s="1"/>
  <c r="O113" i="8"/>
  <c r="P113" i="8" s="1"/>
  <c r="P94" i="8"/>
  <c r="P96" i="8" s="1"/>
  <c r="Q93" i="8"/>
  <c r="O144" i="8"/>
  <c r="P142" i="8"/>
  <c r="Q141" i="8"/>
  <c r="P27" i="8" l="1"/>
  <c r="P101" i="8"/>
  <c r="P125" i="8"/>
  <c r="P138" i="8"/>
  <c r="O10" i="8"/>
  <c r="O13" i="8" s="1"/>
  <c r="O14" i="8" s="1"/>
  <c r="Q130" i="8"/>
  <c r="Q132" i="8" s="1"/>
  <c r="R129" i="8"/>
  <c r="O15" i="8"/>
  <c r="Q118" i="8"/>
  <c r="Q119" i="8" s="1"/>
  <c r="R117" i="8"/>
  <c r="P131" i="8"/>
  <c r="Q101" i="8"/>
  <c r="Q112" i="8"/>
  <c r="Q113" i="8" s="1"/>
  <c r="R111" i="8"/>
  <c r="R19" i="8"/>
  <c r="Q21" i="8"/>
  <c r="Q20" i="8"/>
  <c r="Q22" i="8" s="1"/>
  <c r="Q25" i="8" s="1"/>
  <c r="Q26" i="8" s="1"/>
  <c r="P108" i="8"/>
  <c r="Q94" i="8"/>
  <c r="Q96" i="8" s="1"/>
  <c r="R93" i="8"/>
  <c r="R105" i="8"/>
  <c r="Q106" i="8"/>
  <c r="Q107" i="8" s="1"/>
  <c r="Q136" i="8"/>
  <c r="Q138" i="8" s="1"/>
  <c r="R135" i="8"/>
  <c r="P120" i="8"/>
  <c r="R123" i="8"/>
  <c r="Q124" i="8"/>
  <c r="Q126" i="8" s="1"/>
  <c r="P9" i="8"/>
  <c r="P8" i="8"/>
  <c r="P10" i="8" s="1"/>
  <c r="P13" i="8" s="1"/>
  <c r="P14" i="8" s="1"/>
  <c r="Q7" i="8"/>
  <c r="R99" i="8"/>
  <c r="Q100" i="8"/>
  <c r="Q102" i="8" s="1"/>
  <c r="Q142" i="8"/>
  <c r="Q143" i="8" s="1"/>
  <c r="R141" i="8"/>
  <c r="P144" i="8"/>
  <c r="Q144" i="8" s="1"/>
  <c r="P95" i="8"/>
  <c r="Q31" i="8"/>
  <c r="P33" i="8"/>
  <c r="P32" i="8"/>
  <c r="P34" i="8" s="1"/>
  <c r="P37" i="8" s="1"/>
  <c r="P38" i="8" s="1"/>
  <c r="Q125" i="8" l="1"/>
  <c r="Q27" i="8"/>
  <c r="Q120" i="8"/>
  <c r="Q95" i="8"/>
  <c r="P39" i="8"/>
  <c r="R132" i="8"/>
  <c r="R113" i="8"/>
  <c r="R100" i="8"/>
  <c r="R102" i="8" s="1"/>
  <c r="S99" i="8"/>
  <c r="Q137" i="8"/>
  <c r="R136" i="8"/>
  <c r="R138" i="8" s="1"/>
  <c r="S135" i="8"/>
  <c r="S105" i="8"/>
  <c r="R106" i="8"/>
  <c r="R107" i="8" s="1"/>
  <c r="R94" i="8"/>
  <c r="R95" i="8" s="1"/>
  <c r="S93" i="8"/>
  <c r="R118" i="8"/>
  <c r="R120" i="8" s="1"/>
  <c r="S117" i="8"/>
  <c r="Q108" i="8"/>
  <c r="Q114" i="8"/>
  <c r="R114" i="8" s="1"/>
  <c r="R144" i="8"/>
  <c r="Q131" i="8"/>
  <c r="R131" i="8" s="1"/>
  <c r="R7" i="8"/>
  <c r="Q8" i="8"/>
  <c r="Q9" i="8"/>
  <c r="R124" i="8"/>
  <c r="R125" i="8" s="1"/>
  <c r="S123" i="8"/>
  <c r="P15" i="8"/>
  <c r="R112" i="8"/>
  <c r="S111" i="8"/>
  <c r="R142" i="8"/>
  <c r="R143" i="8" s="1"/>
  <c r="S141" i="8"/>
  <c r="R31" i="8"/>
  <c r="Q33" i="8"/>
  <c r="Q32" i="8"/>
  <c r="Q34" i="8" s="1"/>
  <c r="Q37" i="8" s="1"/>
  <c r="Q39" i="8" s="1"/>
  <c r="S19" i="8"/>
  <c r="R21" i="8"/>
  <c r="R20" i="8"/>
  <c r="R130" i="8"/>
  <c r="S129" i="8"/>
  <c r="S94" i="8" l="1"/>
  <c r="S95" i="8" s="1"/>
  <c r="T93" i="8"/>
  <c r="Q38" i="8"/>
  <c r="T123" i="8"/>
  <c r="S124" i="8"/>
  <c r="S125" i="8" s="1"/>
  <c r="T19" i="8"/>
  <c r="S21" i="8"/>
  <c r="S20" i="8"/>
  <c r="S22" i="8" s="1"/>
  <c r="S25" i="8" s="1"/>
  <c r="Q10" i="8"/>
  <c r="Q13" i="8" s="1"/>
  <c r="Q14" i="8" s="1"/>
  <c r="R9" i="8"/>
  <c r="R8" i="8"/>
  <c r="R10" i="8" s="1"/>
  <c r="R13" i="8" s="1"/>
  <c r="S7" i="8"/>
  <c r="T105" i="8"/>
  <c r="S106" i="8"/>
  <c r="S107" i="8" s="1"/>
  <c r="R126" i="8"/>
  <c r="S31" i="8"/>
  <c r="R33" i="8"/>
  <c r="R32" i="8"/>
  <c r="R34" i="8" s="1"/>
  <c r="R37" i="8" s="1"/>
  <c r="R39" i="8" s="1"/>
  <c r="S142" i="8"/>
  <c r="S144" i="8" s="1"/>
  <c r="T141" i="8"/>
  <c r="R108" i="8"/>
  <c r="S136" i="8"/>
  <c r="S138" i="8" s="1"/>
  <c r="T135" i="8"/>
  <c r="R96" i="8"/>
  <c r="S96" i="8" s="1"/>
  <c r="T129" i="8"/>
  <c r="S130" i="8"/>
  <c r="S132" i="8" s="1"/>
  <c r="R101" i="8"/>
  <c r="S101" i="8" s="1"/>
  <c r="R119" i="8"/>
  <c r="S112" i="8"/>
  <c r="S114" i="8" s="1"/>
  <c r="T111" i="8"/>
  <c r="R137" i="8"/>
  <c r="R22" i="8"/>
  <c r="R25" i="8" s="1"/>
  <c r="S118" i="8"/>
  <c r="S120" i="8" s="1"/>
  <c r="T117" i="8"/>
  <c r="T99" i="8"/>
  <c r="S100" i="8"/>
  <c r="S102" i="8" s="1"/>
  <c r="S126" i="8" l="1"/>
  <c r="S131" i="8"/>
  <c r="R38" i="8"/>
  <c r="S113" i="8"/>
  <c r="S143" i="8"/>
  <c r="Q15" i="8"/>
  <c r="R15" i="8" s="1"/>
  <c r="T120" i="8"/>
  <c r="R27" i="8"/>
  <c r="S27" i="8" s="1"/>
  <c r="R26" i="8"/>
  <c r="S26" i="8" s="1"/>
  <c r="T136" i="8"/>
  <c r="T138" i="8" s="1"/>
  <c r="U135" i="8"/>
  <c r="T118" i="8"/>
  <c r="U117" i="8"/>
  <c r="T94" i="8"/>
  <c r="T96" i="8" s="1"/>
  <c r="U93" i="8"/>
  <c r="S137" i="8"/>
  <c r="S108" i="8"/>
  <c r="T108" i="8" s="1"/>
  <c r="T112" i="8"/>
  <c r="T114" i="8" s="1"/>
  <c r="U111" i="8"/>
  <c r="R14" i="8"/>
  <c r="S119" i="8"/>
  <c r="T119" i="8" s="1"/>
  <c r="U19" i="8"/>
  <c r="T21" i="8"/>
  <c r="T20" i="8"/>
  <c r="U123" i="8"/>
  <c r="T124" i="8"/>
  <c r="T125" i="8" s="1"/>
  <c r="U105" i="8"/>
  <c r="T106" i="8"/>
  <c r="T107" i="8" s="1"/>
  <c r="T7" i="8"/>
  <c r="S8" i="8"/>
  <c r="S9" i="8"/>
  <c r="U141" i="8"/>
  <c r="T142" i="8"/>
  <c r="T144" i="8" s="1"/>
  <c r="T101" i="8"/>
  <c r="T130" i="8"/>
  <c r="T131" i="8" s="1"/>
  <c r="U129" i="8"/>
  <c r="T31" i="8"/>
  <c r="S33" i="8"/>
  <c r="S32" i="8"/>
  <c r="U99" i="8"/>
  <c r="T100" i="8"/>
  <c r="T102" i="8" s="1"/>
  <c r="T137" i="8" l="1"/>
  <c r="T22" i="8"/>
  <c r="T25" i="8" s="1"/>
  <c r="T26" i="8" s="1"/>
  <c r="U26" i="8" s="1"/>
  <c r="U144" i="8"/>
  <c r="U114" i="8"/>
  <c r="U138" i="8"/>
  <c r="U130" i="8"/>
  <c r="U131" i="8" s="1"/>
  <c r="V129" i="8"/>
  <c r="V123" i="8"/>
  <c r="U124" i="8"/>
  <c r="U125" i="8" s="1"/>
  <c r="U142" i="8"/>
  <c r="V141" i="8"/>
  <c r="T95" i="8"/>
  <c r="T143" i="8"/>
  <c r="U143" i="8" s="1"/>
  <c r="U118" i="8"/>
  <c r="U120" i="8" s="1"/>
  <c r="V117" i="8"/>
  <c r="S10" i="8"/>
  <c r="S13" i="8" s="1"/>
  <c r="S15" i="8" s="1"/>
  <c r="V19" i="8"/>
  <c r="U21" i="8"/>
  <c r="U20" i="8"/>
  <c r="U22" i="8" s="1"/>
  <c r="U25" i="8" s="1"/>
  <c r="U7" i="8"/>
  <c r="T8" i="8"/>
  <c r="T9" i="8"/>
  <c r="U136" i="8"/>
  <c r="V135" i="8"/>
  <c r="U31" i="8"/>
  <c r="T33" i="8"/>
  <c r="T32" i="8"/>
  <c r="T34" i="8" s="1"/>
  <c r="T37" i="8" s="1"/>
  <c r="T113" i="8"/>
  <c r="U113" i="8" s="1"/>
  <c r="U137" i="8"/>
  <c r="V99" i="8"/>
  <c r="U100" i="8"/>
  <c r="U102" i="8" s="1"/>
  <c r="T126" i="8"/>
  <c r="U112" i="8"/>
  <c r="V111" i="8"/>
  <c r="U94" i="8"/>
  <c r="U96" i="8" s="1"/>
  <c r="V93" i="8"/>
  <c r="U119" i="8"/>
  <c r="T132" i="8"/>
  <c r="S34" i="8"/>
  <c r="S37" i="8" s="1"/>
  <c r="U106" i="8"/>
  <c r="U107" i="8" s="1"/>
  <c r="V105" i="8"/>
  <c r="U108" i="8" l="1"/>
  <c r="U101" i="8"/>
  <c r="T27" i="8"/>
  <c r="U27" i="8" s="1"/>
  <c r="T10" i="8"/>
  <c r="T13" i="8" s="1"/>
  <c r="T15" i="8" s="1"/>
  <c r="S39" i="8"/>
  <c r="T39" i="8" s="1"/>
  <c r="S38" i="8"/>
  <c r="T38" i="8" s="1"/>
  <c r="U132" i="8"/>
  <c r="V132" i="8" s="1"/>
  <c r="V27" i="8"/>
  <c r="V143" i="8"/>
  <c r="S14" i="8"/>
  <c r="W19" i="8"/>
  <c r="V21" i="8"/>
  <c r="V20" i="8"/>
  <c r="V22" i="8" s="1"/>
  <c r="V25" i="8" s="1"/>
  <c r="V26" i="8" s="1"/>
  <c r="V118" i="8"/>
  <c r="V120" i="8" s="1"/>
  <c r="W117" i="8"/>
  <c r="U95" i="8"/>
  <c r="W111" i="8"/>
  <c r="V112" i="8"/>
  <c r="V114" i="8" s="1"/>
  <c r="V119" i="8"/>
  <c r="V136" i="8"/>
  <c r="V138" i="8" s="1"/>
  <c r="W135" i="8"/>
  <c r="V7" i="8"/>
  <c r="U9" i="8"/>
  <c r="U8" i="8"/>
  <c r="U10" i="8" s="1"/>
  <c r="U13" i="8" s="1"/>
  <c r="V124" i="8"/>
  <c r="V125" i="8" s="1"/>
  <c r="W123" i="8"/>
  <c r="V31" i="8"/>
  <c r="U33" i="8"/>
  <c r="U32" i="8"/>
  <c r="V94" i="8"/>
  <c r="V96" i="8" s="1"/>
  <c r="W93" i="8"/>
  <c r="W141" i="8"/>
  <c r="V142" i="8"/>
  <c r="V144" i="8" s="1"/>
  <c r="U126" i="8"/>
  <c r="V106" i="8"/>
  <c r="V108" i="8" s="1"/>
  <c r="W105" i="8"/>
  <c r="W99" i="8"/>
  <c r="V100" i="8"/>
  <c r="V102" i="8" s="1"/>
  <c r="V130" i="8"/>
  <c r="V131" i="8" s="1"/>
  <c r="W129" i="8"/>
  <c r="V137" i="8" l="1"/>
  <c r="U15" i="8"/>
  <c r="V95" i="8"/>
  <c r="T14" i="8"/>
  <c r="X105" i="8"/>
  <c r="W106" i="8"/>
  <c r="W108" i="8" s="1"/>
  <c r="X99" i="8"/>
  <c r="W100" i="8"/>
  <c r="W102" i="8" s="1"/>
  <c r="W124" i="8"/>
  <c r="W125" i="8" s="1"/>
  <c r="X123" i="8"/>
  <c r="W7" i="8"/>
  <c r="V9" i="8"/>
  <c r="V8" i="8"/>
  <c r="V10" i="8" s="1"/>
  <c r="V13" i="8" s="1"/>
  <c r="V15" i="8" s="1"/>
  <c r="V33" i="8"/>
  <c r="V32" i="8"/>
  <c r="V34" i="8" s="1"/>
  <c r="V37" i="8" s="1"/>
  <c r="W31" i="8"/>
  <c r="X111" i="8"/>
  <c r="W112" i="8"/>
  <c r="W114" i="8" s="1"/>
  <c r="X141" i="8"/>
  <c r="W142" i="8"/>
  <c r="W144" i="8" s="1"/>
  <c r="X135" i="8"/>
  <c r="W136" i="8"/>
  <c r="W138" i="8" s="1"/>
  <c r="X19" i="8"/>
  <c r="W21" i="8"/>
  <c r="W20" i="8"/>
  <c r="W22" i="8" s="1"/>
  <c r="W25" i="8" s="1"/>
  <c r="W26" i="8" s="1"/>
  <c r="V113" i="8"/>
  <c r="W131" i="8"/>
  <c r="V101" i="8"/>
  <c r="V107" i="8"/>
  <c r="V126" i="8"/>
  <c r="W132" i="8"/>
  <c r="W118" i="8"/>
  <c r="W120" i="8" s="1"/>
  <c r="X117" i="8"/>
  <c r="W94" i="8"/>
  <c r="W96" i="8" s="1"/>
  <c r="X93" i="8"/>
  <c r="W130" i="8"/>
  <c r="X129" i="8"/>
  <c r="U34" i="8"/>
  <c r="U37" i="8" s="1"/>
  <c r="U39" i="8" s="1"/>
  <c r="U14" i="8"/>
  <c r="W143" i="8" l="1"/>
  <c r="W101" i="8"/>
  <c r="W126" i="8"/>
  <c r="U38" i="8"/>
  <c r="V38" i="8" s="1"/>
  <c r="X108" i="8"/>
  <c r="W113" i="8"/>
  <c r="W38" i="8"/>
  <c r="W27" i="8"/>
  <c r="V39" i="8"/>
  <c r="Y105" i="8"/>
  <c r="X106" i="8"/>
  <c r="W119" i="8"/>
  <c r="X7" i="8"/>
  <c r="W9" i="8"/>
  <c r="W8" i="8"/>
  <c r="W10" i="8" s="1"/>
  <c r="W13" i="8" s="1"/>
  <c r="W15" i="8" s="1"/>
  <c r="X124" i="8"/>
  <c r="X125" i="8" s="1"/>
  <c r="Y123" i="8"/>
  <c r="X118" i="8"/>
  <c r="X120" i="8" s="1"/>
  <c r="Y117" i="8"/>
  <c r="Y19" i="8"/>
  <c r="X21" i="8"/>
  <c r="X20" i="8"/>
  <c r="V14" i="8"/>
  <c r="W107" i="8"/>
  <c r="X107" i="8" s="1"/>
  <c r="W137" i="8"/>
  <c r="X94" i="8"/>
  <c r="X96" i="8" s="1"/>
  <c r="Y93" i="8"/>
  <c r="X112" i="8"/>
  <c r="X114" i="8" s="1"/>
  <c r="Y111" i="8"/>
  <c r="X136" i="8"/>
  <c r="X138" i="8" s="1"/>
  <c r="Y135" i="8"/>
  <c r="W95" i="8"/>
  <c r="X31" i="8"/>
  <c r="W33" i="8"/>
  <c r="W32" i="8"/>
  <c r="W34" i="8" s="1"/>
  <c r="W37" i="8" s="1"/>
  <c r="X130" i="8"/>
  <c r="X132" i="8" s="1"/>
  <c r="Y129" i="8"/>
  <c r="X131" i="8"/>
  <c r="Y141" i="8"/>
  <c r="X142" i="8"/>
  <c r="X143" i="8" s="1"/>
  <c r="Y99" i="8"/>
  <c r="X100" i="8"/>
  <c r="X102" i="8" s="1"/>
  <c r="X144" i="8" l="1"/>
  <c r="X137" i="8"/>
  <c r="X101" i="8"/>
  <c r="X22" i="8"/>
  <c r="X25" i="8" s="1"/>
  <c r="X26" i="8" s="1"/>
  <c r="Y125" i="8"/>
  <c r="Z111" i="8"/>
  <c r="Z112" i="8" s="1"/>
  <c r="Y112" i="8"/>
  <c r="Y114" i="8" s="1"/>
  <c r="Z114" i="8" s="1"/>
  <c r="G60" i="8" s="1"/>
  <c r="Y118" i="8"/>
  <c r="Y120" i="8" s="1"/>
  <c r="Z117" i="8"/>
  <c r="Z118" i="8" s="1"/>
  <c r="D61" i="8" s="1"/>
  <c r="Y130" i="8"/>
  <c r="Y131" i="8" s="1"/>
  <c r="Z131" i="8" s="1"/>
  <c r="F63" i="8" s="1"/>
  <c r="Z129" i="8"/>
  <c r="Z130" i="8" s="1"/>
  <c r="Z141" i="8"/>
  <c r="Z142" i="8" s="1"/>
  <c r="Y142" i="8"/>
  <c r="Y144" i="8" s="1"/>
  <c r="Z144" i="8" s="1"/>
  <c r="G68" i="8" s="1"/>
  <c r="Z93" i="8"/>
  <c r="Z94" i="8" s="1"/>
  <c r="Y94" i="8"/>
  <c r="Y96" i="8" s="1"/>
  <c r="Z96" i="8" s="1"/>
  <c r="G57" i="8" s="1"/>
  <c r="X126" i="8"/>
  <c r="Y126" i="8" s="1"/>
  <c r="X119" i="8"/>
  <c r="Y7" i="8"/>
  <c r="X9" i="8"/>
  <c r="X8" i="8"/>
  <c r="X10" i="8" s="1"/>
  <c r="X13" i="8" s="1"/>
  <c r="X15" i="8" s="1"/>
  <c r="X95" i="8"/>
  <c r="Z135" i="8"/>
  <c r="Z136" i="8" s="1"/>
  <c r="D64" i="8" s="1"/>
  <c r="Y136" i="8"/>
  <c r="Y137" i="8" s="1"/>
  <c r="Z105" i="8"/>
  <c r="Z106" i="8" s="1"/>
  <c r="Y106" i="8"/>
  <c r="Y108" i="8" s="1"/>
  <c r="Z108" i="8" s="1"/>
  <c r="G59" i="8" s="1"/>
  <c r="Y124" i="8"/>
  <c r="Z123" i="8"/>
  <c r="Z124" i="8" s="1"/>
  <c r="D62" i="8" s="1"/>
  <c r="X113" i="8"/>
  <c r="W14" i="8"/>
  <c r="Y31" i="8"/>
  <c r="X33" i="8"/>
  <c r="X32" i="8"/>
  <c r="X34" i="8" s="1"/>
  <c r="X37" i="8" s="1"/>
  <c r="X38" i="8" s="1"/>
  <c r="Z99" i="8"/>
  <c r="Z100" i="8" s="1"/>
  <c r="D58" i="8" s="1"/>
  <c r="Y100" i="8"/>
  <c r="Y101" i="8" s="1"/>
  <c r="Y21" i="8"/>
  <c r="Y20" i="8"/>
  <c r="Z19" i="8"/>
  <c r="W39" i="8"/>
  <c r="Z125" i="8" l="1"/>
  <c r="F62" i="8" s="1"/>
  <c r="D60" i="8"/>
  <c r="Y119" i="8"/>
  <c r="Y132" i="8"/>
  <c r="Z132" i="8" s="1"/>
  <c r="G63" i="8" s="1"/>
  <c r="Z126" i="8"/>
  <c r="G62" i="8" s="1"/>
  <c r="D57" i="8"/>
  <c r="C73" i="8" s="1"/>
  <c r="D73" i="8" s="1"/>
  <c r="X14" i="8"/>
  <c r="D59" i="8"/>
  <c r="H61" i="8" s="1"/>
  <c r="X27" i="8"/>
  <c r="Z120" i="8"/>
  <c r="G61" i="8" s="1"/>
  <c r="Z101" i="8"/>
  <c r="Z137" i="8"/>
  <c r="D63" i="8"/>
  <c r="Y107" i="8"/>
  <c r="Z107" i="8" s="1"/>
  <c r="F59" i="8" s="1"/>
  <c r="E58" i="8"/>
  <c r="H58" i="8"/>
  <c r="C76" i="8"/>
  <c r="D76" i="8" s="1"/>
  <c r="C74" i="8"/>
  <c r="C75" i="8"/>
  <c r="D75" i="8" s="1"/>
  <c r="Y138" i="8"/>
  <c r="Z138" i="8" s="1"/>
  <c r="G64" i="8" s="1"/>
  <c r="D68" i="8"/>
  <c r="E68" i="8" s="1"/>
  <c r="Y33" i="8"/>
  <c r="Y32" i="8"/>
  <c r="Y34" i="8" s="1"/>
  <c r="Y37" i="8" s="1"/>
  <c r="Y38" i="8" s="1"/>
  <c r="Z31" i="8"/>
  <c r="Y95" i="8"/>
  <c r="Z95" i="8" s="1"/>
  <c r="F57" i="8" s="1"/>
  <c r="X39" i="8"/>
  <c r="Y113" i="8"/>
  <c r="Z113" i="8" s="1"/>
  <c r="F60" i="8" s="1"/>
  <c r="Y143" i="8"/>
  <c r="Z143" i="8" s="1"/>
  <c r="Z119" i="8"/>
  <c r="C49" i="8"/>
  <c r="Z21" i="8"/>
  <c r="Z20" i="8"/>
  <c r="E63" i="8"/>
  <c r="Y102" i="8"/>
  <c r="Z102" i="8" s="1"/>
  <c r="G58" i="8" s="1"/>
  <c r="H59" i="8"/>
  <c r="E59" i="8"/>
  <c r="H62" i="8"/>
  <c r="E62" i="8"/>
  <c r="Z7" i="8"/>
  <c r="Y9" i="8"/>
  <c r="Y8" i="8"/>
  <c r="Y22" i="8"/>
  <c r="Y25" i="8" s="1"/>
  <c r="B66" i="8" l="1"/>
  <c r="B12" i="10" s="1"/>
  <c r="C12" i="10" s="1"/>
  <c r="H63" i="8"/>
  <c r="H60" i="8"/>
  <c r="Y10" i="8"/>
  <c r="Y13" i="8" s="1"/>
  <c r="Y15" i="8" s="1"/>
  <c r="E64" i="8"/>
  <c r="E61" i="8"/>
  <c r="E60" i="8"/>
  <c r="H64" i="8"/>
  <c r="C72" i="8"/>
  <c r="C77" i="8" s="1"/>
  <c r="D77" i="8" s="1"/>
  <c r="D49" i="8"/>
  <c r="Z33" i="8"/>
  <c r="Z32" i="8"/>
  <c r="Y14" i="8"/>
  <c r="C50" i="8"/>
  <c r="Z22" i="8"/>
  <c r="Z25" i="8" s="1"/>
  <c r="D74" i="8"/>
  <c r="E74" i="8"/>
  <c r="Y27" i="8"/>
  <c r="Y26" i="8"/>
  <c r="B49" i="8"/>
  <c r="Z9" i="8"/>
  <c r="Z8" i="8"/>
  <c r="Y39" i="8"/>
  <c r="D72" i="8" l="1"/>
  <c r="D50" i="8"/>
  <c r="Z34" i="8"/>
  <c r="Z37" i="8" s="1"/>
  <c r="C45" i="8"/>
  <c r="C44" i="8"/>
  <c r="B11" i="10" s="1"/>
  <c r="C11" i="10" s="1"/>
  <c r="Z39" i="8"/>
  <c r="D48" i="8" s="1"/>
  <c r="Z10" i="8"/>
  <c r="Z13" i="8" s="1"/>
  <c r="B50" i="8"/>
  <c r="Z26" i="8"/>
  <c r="Z27" i="8"/>
  <c r="C48" i="8" s="1"/>
  <c r="B45" i="8" l="1"/>
  <c r="B44" i="8"/>
  <c r="Z15" i="8"/>
  <c r="B48" i="8" s="1"/>
  <c r="Z14" i="8"/>
  <c r="C46" i="8"/>
  <c r="C47" i="8"/>
  <c r="D45" i="8"/>
  <c r="D44" i="8"/>
  <c r="Z38" i="8"/>
  <c r="D46" i="8" s="1"/>
  <c r="B47" i="8" l="1"/>
  <c r="B46" i="8"/>
</calcChain>
</file>

<file path=xl/sharedStrings.xml><?xml version="1.0" encoding="utf-8"?>
<sst xmlns="http://schemas.openxmlformats.org/spreadsheetml/2006/main" count="786" uniqueCount="674">
  <si>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</si>
  <si>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</si>
  <si>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</si>
  <si>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</si>
  <si>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</si>
  <si>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</si>
  <si>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</si>
  <si>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</si>
  <si>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</si>
  <si>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</si>
  <si>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</si>
  <si>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</si>
  <si>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</si>
  <si>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</si>
  <si>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</si>
  <si>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</si>
  <si>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</si>
  <si>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</si>
  <si>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</si>
  <si>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</si>
  <si>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</si>
  <si>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</si>
  <si>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</si>
  <si>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</si>
  <si>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</si>
  <si>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</si>
  <si>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Chưa</t>
  </si>
  <si>
    <t>Làm phiên bản 2; so sánh con số cũ và mới ở trang 3–5</t>
  </si>
  <si>
    <t>Dựng mới trên file này</t>
  </si>
  <si>
    <t>Nhóm khác dự án, dùng Đề bài 1: dựng mới mô hình 24 tháng ở trang 3–5 của file này</t>
  </si>
  <si>
    <t>Bảng giám sát agent: token, chi phí theo ngày (Ngày 13)</t>
  </si>
  <si>
    <t>Lấy số lần gọi AI và token thật ở trang 1</t>
  </si>
  <si>
    <t>Chạy thử 5 câu hỏi, xem số token ở trang quản lý API (cách làm: trang 1, cột Gợi ý)</t>
  </si>
  <si>
    <t>Không có bảng giám sát thật: số lần gọi và token lấy từ Đề bài 1, Trang 1 (CS9_DeBai_GiaDinh.pdf, trang 2)</t>
  </si>
  <si>
    <t>Báo cáo đánh giá chất lượng (Ngày 14 hoặc buổi đánh giá Track 1)</t>
  </si>
  <si>
    <t>Tỷ lệ chưa đạt → tỷ lệ cần người kiểm tra ở trang 1</t>
  </si>
  <si>
    <t>Giả định 10–20%, ghi lý do</t>
  </si>
  <si>
    <t>Không có báo cáo eval: tỷ lệ cần kế toán viên kiểm tra 20% lấy từ Đề bài 1 (hoá đơn mờ, viết tay, trên 20 triệu)</t>
  </si>
  <si>
    <t>Phiếu bài tập 1 và bài về nhà một trang (Ngày 22)</t>
  </si>
  <si>
    <t>Cách tính tiền, chi phí mỗi việc, giá đề xuất: chép vào trang 1–2 rồi soát lại</t>
  </si>
  <si>
    <t>Làm nhanh ở Nhiệm vụ 1–2 theo bản mẫu (cột Gợi ý ở trang 1–2)</t>
  </si>
  <si>
    <t>Cách tính tiền và bảng giá lấy từ Đề bài 1, Trang 2 (đề ghi Ngày 22 đã chọn theo lượt dùng, đóng gói tháng)</t>
  </si>
  <si>
    <t>Bảng theo dõi chỉ số và luật xử lý (Ngày 23)</t>
  </si>
  <si>
    <t>Điền mức cảnh báo tự tính (trang 5, dòng 72–77) vào cột [TỰ TÍNH]</t>
  </si>
  <si>
    <t>Dùng bảng mức cảnh báo ở trang 5 làm khung</t>
  </si>
  <si>
    <t>Chưa có bảng Ngày 23 cho SổSạch: dùng mức cảnh báo tự tính trang 5, dòng 72–77 làm khung (ghi ở trang 7, câu 5)</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</si>
  <si>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</si>
  <si>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</si>
  <si>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</si>
  <si>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Đề bài 1 — SổSạch: trợ lý AI đọc hoá đơn đầu vào cho văn phòng kế toán dịch vụ (CS9_DeBai_GiaDinh.pdf, trang 2–3)</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</si>
  <si>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</si>
  <si>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</si>
  <si>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</si>
  <si>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</si>
  <si>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</si>
  <si>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</si>
  <si>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</si>
  <si>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</si>
  <si>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</si>
  <si>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</si>
  <si>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</si>
  <si>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</si>
  <si>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</si>
  <si>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</si>
  <si>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Không: góp vốn làm tăng tiền và vốn chủ sở hữu, không phải doanh thu</t>
  </si>
  <si>
    <t>Vay ngân hàng, gốc trả sau 3 năm</t>
  </si>
  <si>
    <t>Lãi 12%/năm, trả cuối mỗi tháng</t>
  </si>
  <si>
    <t>Không: tiền vay là nợ phải trả; chỉ lãi vay 300 × 12% ÷ 12 = 3 triệu/tháng vào báo cáo</t>
  </si>
  <si>
    <t>Mua máy chủ, trả tiền ngay</t>
  </si>
  <si>
    <t>Dùng 36 tháng, khấu hao đều</t>
  </si>
  <si>
    <t>Không: máy chủ là tài sản dùng lâu; chỉ khấu hao 360 ÷ 36 = 10 triệu/tháng vào báo cáo</t>
  </si>
  <si>
    <t>Bán gói tháng cho cửa hàng nhỏ, thu tiền ngay</t>
  </si>
  <si>
    <t>Có: doanh thu ghi đúng tháng bán (50 / 80 / 110)</t>
  </si>
  <si>
    <t>Ngân hàng X trả trước gói 12 tháng</t>
  </si>
  <si>
    <t>Dịch vụ chạy đều từ tháng 1</t>
  </si>
  <si>
    <t>Một phần: mỗi tháng ghi 240 ÷ 12 = 20 triệu doanh thu; phần chưa phục vụ là doanh thu chưa thực hiện (nợ phải trả)</t>
  </si>
  <si>
    <t>Dự án triển khai cho công ty Y được nghiệm thu</t>
  </si>
  <si>
    <t>Y trả tiền sau 60 ngày (tháng 4)</t>
  </si>
  <si>
    <t>Có: 90 triệu doanh thu tháng 2 khi nghiệm thu, dù tháng 4 mới thu tiền (phải thu khách hàng)</t>
  </si>
  <si>
    <t>Chi phí gọi AI phát sinh trong tháng</t>
  </si>
  <si>
    <t>Nhà cung cấp cho trả vào tháng sau</t>
  </si>
  <si>
    <t>Có: giá vốn của tháng phát sinh, dù trả tiền tháng sau (phải trả nhà cung cấp)</t>
  </si>
  <si>
    <t>Người kiểm tra câu trả lời, trả trong tháng</t>
  </si>
  <si>
    <t>Có: giá vốn (chi phí phục vụ từng việc)</t>
  </si>
  <si>
    <t>Lương đội phát triển và bán hàng, trả trong tháng</t>
  </si>
  <si>
    <t>Có: chi phí hoạt động</t>
  </si>
  <si>
    <t>Thuê văn phòng, trả trong tháng</t>
  </si>
  <si>
    <t>Thuế thu nhập doanh nghiệp</t>
  </si>
  <si>
    <t>Lỗ lũy kế nên chưa phát sinh thuế</t>
  </si>
  <si>
    <t>Có dòng nhưng bằng 0: đang lỗ lũy kế nên chưa phát sinh thuế</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</si>
  <si>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</si>
  <si>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</si>
  <si>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</si>
  <si>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</si>
  <si>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</si>
  <si>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</si>
  <si>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</si>
  <si>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</si>
  <si>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</si>
  <si>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</si>
  <si>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</si>
  <si>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</si>
  <si>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</si>
  <si>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</si>
  <si>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</si>
  <si>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</si>
  <si>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</si>
  <si>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</si>
  <si>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</si>
  <si>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</si>
  <si>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</si>
  <si>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</si>
  <si>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</si>
  <si>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</si>
  <si>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</si>
  <si>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</si>
  <si>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</si>
  <si>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</si>
  <si>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</si>
  <si>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</si>
  <si>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</si>
  <si>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</si>
  <si>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</si>
  <si>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</si>
  <si>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</si>
  <si>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</si>
  <si>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</si>
  <si>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</si>
  <si>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</si>
  <si>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</si>
  <si>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</si>
  <si>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</si>
  <si>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</si>
  <si>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</si>
  <si>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</si>
  <si>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</si>
  <si>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</si>
  <si>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</si>
  <si>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</si>
  <si>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</si>
  <si>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</si>
  <si>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</si>
  <si>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</si>
  <si>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</si>
  <si>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Chỉ tháng 2 có lãi (+2 triệu), nhưng tiền mặt tháng 2 GIẢM 88 triệu (1.077 → 989): tiền thật vào chỉ 80 triệu gói tháng, tiền thật ra 168 triệu (15 tiền AI của tháng 1 + 10 kiểm tra + 120 lương + 20 văn phòng + 3 lãi). 90 triệu dự án Y mới là doanh thu, tháng 4 mới thu tiền.</t>
  </si>
  <si>
    <t>2. 240 triệu ngân hàng X trả trước nằm ở đâu trên bảng cân đối cuối tháng 3, bao nhiêu? Vì sao không ghi hết vào doanh thu?</t>
  </si>
  <si>
    <t>Nằm ở Nợ phải trả, dòng Doanh thu chưa thực hiện: 180 triệu. Đến cuối tháng 3 mới phục vụ 3/12 tháng (60 triệu là doanh thu); 9 tháng còn lại là nghĩa vụ phải phục vụ hoặc hoàn tiền nên chưa được ghi doanh thu.</t>
  </si>
  <si>
    <t>3. Lỗ 174 triệu mà dòng tiền kinh doanh chỉ âm 19 triệu. Khoản nào bù vào? Có nên vui không?</t>
  </si>
  <si>
    <t>Bù vào là 180 triệu khách trả trước + 35 triệu chưa trả nhà cung cấp + 30 triệu khấu hao, trừ 90 triệu Y chưa trả (−174 + 30 − 90 + 35 + 180 = −19). Không nên vui: 215 triệu là tiền còn nợ dịch vụ và nợ nhà cung cấp, không phải tiền lãi.</t>
  </si>
  <si>
    <t>4. (Xong sớm) Nếu từ tháng 4 mọi thứ giữ như tháng 3, công ty còn trụ được khoảng bao nhiêu tháng?</t>
  </si>
  <si>
    <t>Từ tháng 4 mỗi tháng thu ~110 triệu, chi ~188 triệu (35 AI + 10 kiểm tra + 120 lương + 20 văn phòng + 3 lãi), đốt ~78 triệu. (921 + 90 triệu Y trả tháng 4) ÷ 78 ≈ 13 tháng, chưa tính trả gốc vay 300 triệu ở năm thứ 3.</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</si>
  <si>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</si>
  <si>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</si>
  <si>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</si>
  <si>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</si>
  <si>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</si>
  <si>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</si>
  <si>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</si>
  <si>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</si>
  <si>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Thuê</t>
  </si>
  <si>
    <t>Nếu chi phí vốn chỉ 8%/năm: giá trị hiện tại của tiền thuê (gợi ý: =PV(0,08/12; C84; -C83))</t>
  </si>
  <si>
    <t>Khi đó nên mua hay thuê?</t>
  </si>
  <si>
    <t>Mua</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</si>
  <si>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</si>
  <si>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</si>
  <si>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</si>
  <si>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</si>
  <si>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</si>
  <si>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</si>
  <si>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</si>
  <si>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</si>
  <si>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</si>
  <si>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1 hoá đơn đầu vào (ảnh / file khách gửi) được AI đọc, đối chiếu mã số thuế và nhập vào phần mềm kế toán của văn phòng</t>
  </si>
  <si>
    <t>Đề bài 1: định nghĩa 1 việc. Hoá đơn mờ, viết tay hoặc trên 20 triệu chuyển kế toán viên kiểm tra (dòng 14)</t>
  </si>
  <si>
    <t>Một câu: AI nhận gì, trả ra gì cho khách. Bản mẫu: trả lời 1 hội thoại Zalo của khách cho cửa hàng nhỏ.</t>
  </si>
  <si>
    <t>Số lần gọi mô hình / việc</t>
  </si>
  <si>
    <t>lần</t>
  </si>
  <si>
    <t>Đề bài 1, Trang 1: 2 lần gọi — đọc và trích xuất; tự kiểm tra chéo</t>
  </si>
  <si>
    <t>Đếm số bước phải gọi mô hình cho 1 việc: hiểu câu hỏi, tra cứu, soạn trả lời, tự kiểm tra. Bản mẫu: 2.</t>
  </si>
  <si>
    <t>Token đầu vào / lần gọi</t>
  </si>
  <si>
    <t>token</t>
  </si>
  <si>
    <t>Đề bài 1, Trang 1: 2.500 token/lần gọi gồm ảnh hoá đơn và hướng dẫn</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</si>
  <si>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</si>
  <si>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</si>
  <si>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Đề bài 1, Trang 1: 400 token đầu ra/lần gọi (các trường trích xuất)</t>
  </si>
  <si>
    <t>Độ dài câu trả lời, đếm bằng cách chạy thử. Bản mẫu: 300 (1–3 câu ngắn).</t>
  </si>
  <si>
    <t>Giá token đầu vào</t>
  </si>
  <si>
    <t>USD / 1 triệu token</t>
  </si>
  <si>
    <t>Đề bài 1: Claude Haiku 4.5, 1 USD/1 triệu token vào (trang 9, tra 04/10/2026 — dữ liệu bài tập)</t>
  </si>
  <si>
    <t>Chọn 1 mô hình ở trang 9 hoặc trang giá chính thức. Ghi tên mô hình, ngày tra, đường dẫn ở cột D. Bản mẫu: 0,4 USD (mô hình nhỏ giả định; nhóm thay bằng giá mô hình thật).</t>
  </si>
  <si>
    <t>Giá token đầu ra</t>
  </si>
  <si>
    <t>Đề bài 1: Claude Haiku 4.5, 5 USD/1 triệu token ra (trang 9 — dữ liệu bài tập)</t>
  </si>
  <si>
    <t>Như dòng 9. Giá đầu ra thường cao hơn đầu vào nhiều lần. Bản mẫu: 1,6 USD.</t>
  </si>
  <si>
    <t>Tỷ giá</t>
  </si>
  <si>
    <t>VND / USD</t>
  </si>
  <si>
    <t>Đề bài 1: tỷ giá bán Vietcombank 26.170 đồng/USD (trang 9, 04/10/2026)</t>
  </si>
  <si>
    <t>Tỷ giá bán ra Vietcombank ở trang 9 (26.170 đồng, ngày 04/10/2026) hoặc tra mới, ghi ngày. Bản mẫu: 26.000.</t>
  </si>
  <si>
    <t>Tỷ lệ gọi lại khi lỗi</t>
  </si>
  <si>
    <t>%</t>
  </si>
  <si>
    <t>Đề bài 1: gọi lại khi lỗi 8%</t>
  </si>
  <si>
    <t>Tỷ lệ việc phải gọi lại vì lỗi, hết thời gian chờ, trả lời hỏng. Chưa đo: giả định 5–10%, ghi lý do. Bản mẫu: 10%.</t>
  </si>
  <si>
    <t>Hạ tầng / việc (máy chủ, cơ sở dữ liệu, gửi tin)</t>
  </si>
  <si>
    <t>VND</t>
  </si>
  <si>
    <t>Đề bài 1: 120 đồng/việc — lưu ảnh, kết nối phần mềm kế toán</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</si>
  <si>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</si>
  <si>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</si>
  <si>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Đề bài 1: 20% hoá đơn cần người kiểm tra (mờ, viết tay, trên 20 triệu)</t>
  </si>
  <si>
    <t>Lấy từ báo cáo đánh giá chất lượng (tỷ lệ trả lời chưa đạt). Chưa có: giả định 10–20%. Bản mẫu: 10%.</t>
  </si>
  <si>
    <t>Số phút người kiểm tra / việc</t>
  </si>
  <si>
    <t>phút</t>
  </si>
  <si>
    <t>Đề bài 1: 1,5 phút kiểm tra mỗi hoá đơn</t>
  </si>
  <si>
    <t>Thời gian 1 người đọc và sửa 1 kết quả. Bản mẫu: 1,5 phút.</t>
  </si>
  <si>
    <t>Chi phí nhân sự kiểm tra</t>
  </si>
  <si>
    <t>VND / giờ</t>
  </si>
  <si>
    <t>Đề bài 1: kế toán viên kiểm tra 50.000 đồng/giờ</t>
  </si>
  <si>
    <t>Bằng (lương tháng + bảo hiểm) ÷ số giờ làm mỗi tháng (khoảng 176–208 giờ). Lương tối thiểu ở trang 9 chỉ là mức sàn. Bản mẫu: 60.000 đồng/giờ.</t>
  </si>
  <si>
    <t>Đánh giá chất lượng, giám sát, gán nhãn lại / việc</t>
  </si>
  <si>
    <t>Đề bài 1: đánh giá chất lượng 50 đồng/việc</t>
  </si>
  <si>
    <t>Chi phí chạy bộ câu hỏi đánh giá, gán nhãn lại mỗi tháng ÷ số việc mỗi tháng. Bản mẫu: 60 đồng.</t>
  </si>
  <si>
    <t>Chi phí khác / việc (tuân thủ, lưu nhật ký…)</t>
  </si>
  <si>
    <t>Đề bài 1: chi phí khác 30 đồng/việc — lưu chứng từ</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</si>
  <si>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</si>
  <si>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</si>
  <si>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</si>
  <si>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</si>
  <si>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</si>
  <si>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</si>
  <si>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</si>
  <si>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</si>
  <si>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</si>
  <si>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</si>
  <si>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</si>
  <si>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</si>
  <si>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</si>
  <si>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</si>
  <si>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</si>
  <si>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</si>
  <si>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</si>
  <si>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Nhân sự: thay một phần nhân viên nhập liệu của văn phòng kế toán</t>
  </si>
  <si>
    <t>Phần mềm hay Nhân sự?</t>
  </si>
  <si>
    <t>Đề bài 1, Trang 2</t>
  </si>
  <si>
    <t>Cách tính tiền đã chọn</t>
  </si>
  <si>
    <t>Kết hợp (phí cố định + vượt hạn mức)</t>
  </si>
  <si>
    <t>Bảng giá dưới luôn có dạng phí cố định + phí mỗi việc vượt hạn mức. Cách nhập cho từng cách tính tiền: dòng 35–40.</t>
  </si>
  <si>
    <t>Đề bài 1, Trang 2: Ngày 22 đã chọn tính theo lượt dùng, đóng thành gói tháng</t>
  </si>
  <si>
    <t>Lý do chọn (hai câu hỏi: đo được kết quả? AI tự làm trọn?)</t>
  </si>
  <si>
    <t>Đo được kết quả: mỗi hoá đơn nhập xong là một việc đếm được, nhưng AI chưa tự làm trọn (20% cần kế toán viên duyệt) → không thu theo kết quả; thu theo lượt dùng, đóng gói tháng có hạn mức để văn phòng dự toán được chi phí</t>
  </si>
  <si>
    <t>Đề bài 1, Bối cảnh + Trang 2</t>
  </si>
  <si>
    <t>Neo giá so với cái gì?</t>
  </si>
  <si>
    <t>Lương nhân viên nhập liệu 8.000.000 đồng/tháng (người được thay), không so với giá ChatGPT</t>
  </si>
  <si>
    <t>Lương hoặc chi phí thuê ngoài, không so với giá ChatGPT</t>
  </si>
  <si>
    <t>Đề bài 1, Trang 2 (dòng 26)</t>
  </si>
  <si>
    <t>Phí cố định / khách / tháng</t>
  </si>
  <si>
    <t>Đề bài 1, Trang 2: phí cố định 1.990.000 đồng/tháng</t>
  </si>
  <si>
    <t>Số việc đã gồm trong phí cố định</t>
  </si>
  <si>
    <t>việc / tháng</t>
  </si>
  <si>
    <t>Đề bài 1, Trang 2: gói gồm 1.000 hoá đơn/tháng</t>
  </si>
  <si>
    <t>Giá mỗi việc vượt hạn mức</t>
  </si>
  <si>
    <t>VND / việc</t>
  </si>
  <si>
    <t>Đề bài 1, Trang 2: phí vượt 2.200 đồng/hoá đơn; so giá sàn ở trang 1, dòng 26</t>
  </si>
  <si>
    <t>Giá gói không giới hạn (để so sánh; thường = phí cố định dòng 9)</t>
  </si>
  <si>
    <t>VND / tháng</t>
  </si>
  <si>
    <t>Đề bài 1, Trang 2: gói không giới hạn 1.990.000 đồng/tháng — chỉ để so sánh</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</si>
  <si>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</si>
  <si>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</si>
  <si>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</si>
  <si>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</si>
  <si>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</si>
  <si>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</si>
  <si>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</si>
  <si>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</si>
  <si>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</si>
  <si>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Đề bài 1, Trang 2: 70% số khách là văn phòng nhỏ, 800 hoá đơn/tháng</t>
  </si>
  <si>
    <t>Khách dùng nhiều</t>
  </si>
  <si>
    <t>Đề bài 1, Trang 2: 30% số khách là văn phòng lớn, 4.000 hoá đơn/tháng</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</si>
  <si>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</si>
  <si>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</si>
  <si>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</si>
  <si>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</si>
  <si>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</si>
  <si>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</si>
  <si>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</si>
  <si>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</si>
  <si>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Đề bài 1, Trang 3: lương nhân viên nhập liệu 8.000.000 đồng/tháng</t>
  </si>
  <si>
    <t>Tỷ lệ chia doanh thu cho đối tác / kênh bán</t>
  </si>
  <si>
    <t>% doanh thu</t>
  </si>
  <si>
    <t>Đề bài 1, Trang 3: 0% — bán trực tiếp, không qua đối tác</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</si>
  <si>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</si>
  <si>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</si>
  <si>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</si>
  <si>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</si>
  <si>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</si>
  <si>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</si>
  <si>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</si>
  <si>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</si>
  <si>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</si>
  <si>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</si>
  <si>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</si>
  <si>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</si>
  <si>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</si>
  <si>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</si>
  <si>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</si>
  <si>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</si>
  <si>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</si>
  <si>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</si>
  <si>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</si>
  <si>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</si>
  <si>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</si>
  <si>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</si>
  <si>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</si>
  <si>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</si>
  <si>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</si>
  <si>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</si>
  <si>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</si>
  <si>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</si>
  <si>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</si>
  <si>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</si>
  <si>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</si>
  <si>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Cơ sở = 1 theo Đề bài 1 (giữ mặc định file). Lạc quan / Xấu giữ mặc định 1,1 / 0,8: xấu = văn phòng lớn ép giảm giá vì thấy đắt (đề: 'văn phòng lớn thấy đắt')</t>
  </si>
  <si>
    <t>Bản mẫu: 1,1 / 1 / 0,8. Xấu: bị ép giảm giá; lạc quan: bán được gói cao hơn.</t>
  </si>
  <si>
    <t>Hệ số chi phí AI / khách so với trang 2 (gõ như dòng 5)</t>
  </si>
  <si>
    <t>Cơ sở = 1 theo Đề bài 1. Lạc quan / Xấu giữ mặc định 0,9 / 1,2: xấu = tỷ lệ hoá đơn cần kiểm tra hoặc giá token tăng</t>
  </si>
  <si>
    <t>Bản mẫu: 0,9 / 1 / 1,2. Giá gọi AI hoặc cách khách dùng thay đổi.</t>
  </si>
  <si>
    <t>Khách mới tháng 1 (số khách ký được trong tháng đầu bán)</t>
  </si>
  <si>
    <t>khách</t>
  </si>
  <si>
    <t>Đề bài 1, Trang 3: 12 văn phòng ký mới tháng 1. Lạc quan / Xấu = mặc định file (× 1,3 / × 0,5)</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</si>
  <si>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</si>
  <si>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</si>
  <si>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Đề bài 1, Trang 3: tăng trưởng khách mới 5%/tháng. Lạc quan / Xấu = mặc định file (× 1,6 / × 0,4)</t>
  </si>
  <si>
    <t>Mặc định: lạc quan × 1,6, xấu × 0,4. Bản mẫu: 8% / 5% / 2%. Trên 10% mỗi tháng cần lý do rất chắc.</t>
  </si>
  <si>
    <t>Tỷ lệ rời bỏ / tháng</t>
  </si>
  <si>
    <t>Đề bài 1, Trang 3: rời bỏ 3%/tháng vì dữ liệu đã nối vào phần mềm kế toán, khó bỏ. Lạc quan / Xấu = mặc định file (× 0,6 / × 1,6 ≥ 1,5 lần cơ sở)</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</si>
  <si>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</si>
  <si>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</si>
  <si>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</si>
  <si>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Đề bài 1, Trang 3: CAC 9.000.000 đồng — bán trực tiếp: demo, tích hợp. Lạc quan / Xấu = mặc định file (× 0,8 / × 1,5)</t>
  </si>
  <si>
    <t>Xấu phải ≥ 1,5 × cơ sở. Mặc định: lạc quan × 0,8, xấu × 1,5. (Bản mẫu tự đặt 1,2 / 1,5 / 2,3 triệu đồng.)</t>
  </si>
  <si>
    <t>Chi phí cố định / tháng (lương đội, văn phòng, hạ tầng trả cố định)</t>
  </si>
  <si>
    <t>Đề bài 1, Trang 3: 200 triệu/tháng — đội 6 người và văn phòng</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</si>
  <si>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</si>
  <si>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</si>
  <si>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Đề bài 1, Trang 3: 900 triệu gồm thử sai — 4 tháng đội và văn phòng (800 triệu); token chạy thử, kiểm thử 2.000 hoá đơn mẫu, rà soát pháp lý (100 triệu)</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</si>
  <si>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</si>
  <si>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</si>
  <si>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Đề bài 1, Trang 3: tiền mặt sẵn có 2,5 tỷ đồng</t>
  </si>
  <si>
    <t>Gõ đủ số đồng. Dự án trong công ty: ghi ngân sách đã duyệt. Để trống thì mọi kịch bản hết tiền ngay tháng 1. Bản mẫu: 2 tỷ.</t>
  </si>
  <si>
    <t>Lãi suất chiết khấu / năm</t>
  </si>
  <si>
    <t>Đề bài 1: giữ mặc định file 15%/năm</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</si>
  <si>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</si>
  <si>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</si>
  <si>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</si>
  <si>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</si>
  <si>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</si>
  <si>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</si>
  <si>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</si>
  <si>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</si>
  <si>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</si>
  <si>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</si>
  <si>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</si>
  <si>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</si>
  <si>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</si>
  <si>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</si>
  <si>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</si>
  <si>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</si>
  <si>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</si>
  <si>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</si>
  <si>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</si>
  <si>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</si>
  <si>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</si>
  <si>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</si>
  <si>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</si>
  <si>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</si>
  <si>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</si>
  <si>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</si>
  <si>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</si>
  <si>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</si>
  <si>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</si>
  <si>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</si>
  <si>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</si>
  <si>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</si>
  <si>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</si>
  <si>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</si>
  <si>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</si>
  <si>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</si>
  <si>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</si>
  <si>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</si>
  <si>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</si>
  <si>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</si>
  <si>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</si>
  <si>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</si>
  <si>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</si>
  <si>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</si>
  <si>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</si>
  <si>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</si>
  <si>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</si>
  <si>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</si>
  <si>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</si>
  <si>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</si>
  <si>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</si>
  <si>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</si>
  <si>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</si>
  <si>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</si>
  <si>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</si>
  <si>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</si>
  <si>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</si>
  <si>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</si>
  <si>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</si>
  <si>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</si>
  <si>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</si>
  <si>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</si>
  <si>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</si>
  <si>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</si>
  <si>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</si>
  <si>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</si>
  <si>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</si>
  <si>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</si>
  <si>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</si>
  <si>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</si>
  <si>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</si>
  <si>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</si>
  <si>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</si>
  <si>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</si>
  <si>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</si>
  <si>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</si>
  <si>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</si>
  <si>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</si>
  <si>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</si>
  <si>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</si>
  <si>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</si>
  <si>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</si>
  <si>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</si>
  <si>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</si>
  <si>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</si>
  <si>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</si>
  <si>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</si>
  <si>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</si>
  <si>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</si>
  <si>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</si>
  <si>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</si>
  <si>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</si>
  <si>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</si>
  <si>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</si>
  <si>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</si>
  <si>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</si>
  <si>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</si>
  <si>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</si>
  <si>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</si>
  <si>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</si>
  <si>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</si>
  <si>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</si>
  <si>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</si>
  <si>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</si>
  <si>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</si>
  <si>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</si>
  <si>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</si>
  <si>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</si>
  <si>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</si>
  <si>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</si>
  <si>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</si>
  <si>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</si>
  <si>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</si>
  <si>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</si>
  <si>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</si>
  <si>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</si>
  <si>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</si>
  <si>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</si>
  <si>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</si>
  <si>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</si>
  <si>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</si>
  <si>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</si>
  <si>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</si>
  <si>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</si>
  <si>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</si>
  <si>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</si>
  <si>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</si>
  <si>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</si>
  <si>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</si>
  <si>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</si>
  <si>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</si>
  <si>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</si>
  <si>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</si>
  <si>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</si>
  <si>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</si>
  <si>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</si>
  <si>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</si>
  <si>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</si>
  <si>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</si>
  <si>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</si>
  <si>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</si>
  <si>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</si>
  <si>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</si>
  <si>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</si>
  <si>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</si>
  <si>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</si>
  <si>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</si>
  <si>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</si>
  <si>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</si>
  <si>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</si>
  <si>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</si>
  <si>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</si>
  <si>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</si>
  <si>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</si>
  <si>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</si>
  <si>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</si>
  <si>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</si>
  <si>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</si>
  <si>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</si>
  <si>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</si>
  <si>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</si>
  <si>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</si>
  <si>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</si>
  <si>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</si>
  <si>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</si>
  <si>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</si>
  <si>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</si>
  <si>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</si>
  <si>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</si>
  <si>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</si>
  <si>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</si>
  <si>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</si>
  <si>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</si>
  <si>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</si>
  <si>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</si>
  <si>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</si>
  <si>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</si>
  <si>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</si>
  <si>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</si>
  <si>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</si>
  <si>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</si>
  <si>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</si>
  <si>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Không áp dụng: Đề bài 1 bán cho văn phòng kế toán bên ngoài; hiệu quả đầu tư tính ở trang 3–5</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</si>
  <si>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</si>
  <si>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</si>
  <si>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</si>
  <si>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</si>
  <si>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</si>
  <si>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</si>
  <si>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</si>
  <si>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</si>
  <si>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</si>
  <si>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</si>
  <si>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</si>
  <si>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</si>
  <si>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</si>
  <si>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</si>
  <si>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</si>
  <si>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</si>
  <si>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</si>
  <si>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</si>
  <si>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</si>
  <si>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</si>
  <si>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</si>
  <si>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</si>
  <si>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</si>
  <si>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</si>
  <si>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</si>
  <si>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</si>
  <si>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</si>
  <si>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</si>
  <si>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</si>
  <si>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</si>
  <si>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</si>
  <si>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</si>
  <si>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</si>
  <si>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</si>
  <si>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</si>
  <si>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</si>
  <si>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</si>
  <si>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</si>
  <si>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</si>
  <si>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</si>
  <si>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</si>
  <si>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</si>
  <si>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THỬ NGHIỆM NHỎ. Cơ sở có triển vọng (giá trị hiện tại ròng 24 tháng +935 triệu, IRR 47%/năm, LTV ÷ CAC 10,1, hoàn vốn dự án tháng 21) nhưng kịch bản xấu hết tiền ở tháng 7 (giá trị hiện tại ròng −5,0 tỷ) và tiền mặt thấp nhất của cơ sở chỉ còn 173 triệu. Thử 3 tháng với 12 văn phòng (giữ tỷ lệ 70% nhỏ / 30% lớn); mở rộng khi doanh thu bình quân ≥ 3,71 triệu và rời bỏ ≤ 3%/tháng. Nếu chạm luật ở câu 4, cuối tháng 3 người Điều phối cắt đội 6 → 4 người (chi phí cố định 140 triệu, kịch bản xấu lùi hết tiền sang tháng 9) và dừng chi bán hàng cho khách mới (~81 triệu/tháng ở kịch bản xấu).</t>
  </si>
  <si>
    <t>2. Giá bán và cách tính tiền đã chọn — vì sao khách chấp nhận mức đó?</t>
  </si>
  <si>
    <t>Gói kết hợp 1.990.000 đ/tháng gồm 1.000 hoá đơn, vượt hạn mức 2.200 đ/hoá đơn (≥ giá sàn 2.113 đ). Chi phí mỗi hoá đơn 704 đ, trong đó gọi AI 254 đ, lớn hơn chút so với người kiểm tra 250 đ: hai khoản gần bằng nhau. Văn phòng nhỏ trả 24,9% lương một nhân viên nhập liệu nên dễ chấp nhận; văn phòng lớn trả 8,59 triệu = 107% lương, vượt mốc 70% nên có lý do bỏ đi hoặc ép giá. Cần phỏng vấn xem 4.000 hoá đơn/tháng đang tốn mấy nhân viên.</t>
  </si>
  <si>
    <t>3. Biến số nguy hiểm nhất (theo bảng độ nhạy ở trang 5) và cách theo dõi.</t>
  </si>
  <si>
    <t>Doanh thu bình quân / khách: giảm 20% làm giá trị hiện tại ròng từ +935 triệu xuống −1.965 triệu; chỉ giảm 6,5% (dưới 3,71 triệu) là về hoà vốn. Biến này dễ đổi vì 65% doanh thu đến từ 30% văn phòng lớn; nếu nhóm này bỏ đi và được thay bằng văn phòng nhỏ, giá trị hiện tại ròng còn −3,83 tỷ. Người Tính số theo dõi hằng tuần doanh thu bình quân và số văn phòng lớn còn dùng.</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</si>
  <si>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</si>
  <si>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NẾU doanh thu bình quân dưới 3.714.000 đ/khách/tháng hoặc rời bỏ trên 4,8%/tháng TRONG 2 tháng liên tiếp trên ít nhất 12 văn phòng thử nghiệm THÌ dừng ký văn phòng mới, cắt đội xuống 4 người và phỏng vấn lại từng văn phòng lớn trong 2 tuần KHÔNG THÌ: cấm hạ phí vượt dưới giá sàn 2.113 đ/hoá đơn và cấm chuyển sang gói không giới hạn (tiền AI ÷ doanh thu của văn phòng lớn sẽ là 1,42: nguy).</t>
  </si>
  <si>
    <t>5. Mức cảnh báo tự tính (trang 5, dòng 72–77) đã điền vào bảng theo dõi Ngày 23 thế nào? Chưa có bảng Ngày 23: chép các mức đó, ghi mức nào là "nguy", mức nào "đáng lo", và ai theo dõi hằng tuần.</t>
  </si>
  <si>
    <t>Chưa có bảng Ngày 23 cho SổSạch nên ghi lại mức tự tính (trang 5, dòng 72–77): doanh thu bình quân dưới 3,71 triệu là nguy, 3,71–3,90 triệu là đáng lo; biên gộp dưới 62,3% là nguy; CAC trên 11,1 triệu là nguy (LTV ÷ CAC tương ứng 8,2, không phải 3); khách mới tháng đầu dưới 11 văn phòng là nguy (10,1 làm tròn lên); chi phí cố định trên 245 triệu/tháng là nguy; trần chia đối tác 6,5%. Người Tính số theo dõi doanh thu, biên gộp, CAC; người Điều phối theo dõi khách mới và chi phí cố định.</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</si>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</sst>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x14ac:knownFonts="1">
    <font>
      <sz val="11"/>
      <color theme="1"/>
      <name val="Calibri"/>
      <family val="2"/>
      <charset val="1"/>
    </font>
    <font>
      <b/>
      <sz val="14"/>
      <name val="Cambria"/>
      <charset val="1"/>
    </font>
    <font>
      <i/>
      <sz val="11"/>
      <color rgb="FF595959"/>
      <name val="Cambria"/>
      <charset val="1"/>
    </font>
    <font>
      <b/>
      <sz val="11"/>
      <name val="Cambria"/>
      <charset val="1"/>
    </font>
    <font>
      <i/>
      <sz val="11"/>
      <color rgb="FF595959"/>
      <name val="Calibri"/>
      <charset val="1"/>
    </font>
    <font>
      <b/>
      <sz val="11"/>
      <color rgb="FFFFFFFF"/>
      <name val="Cambria"/>
      <charset val="1"/>
    </font>
    <font>
      <i/>
      <sz val="10"/>
      <color rgb="FF595959"/>
      <name val="Calibri"/>
      <charset val="1"/>
    </font>
    <font>
      <sz val="11"/>
      <name val="Calibri"/>
      <charset val="1"/>
    </font>
    <font>
      <b/>
      <sz val="11"/>
      <name val="Calibri"/>
      <charset val="1"/>
    </font>
    <font>
      <b/>
      <sz val="11"/>
      <color rgb="FFC00000"/>
      <name val="Calibri"/>
      <charset val="1"/>
    </font>
    <font>
      <b/>
      <sz val="12"/>
      <name val="Cambria"/>
      <charset val="1"/>
    </font>
    <font>
      <b/>
      <sz val="11"/>
      <color rgb="FFC00000"/>
      <name val="Cambria"/>
      <charset val="1"/>
    </font>
    <font>
      <sz val="10"/>
      <color rgb="FF808080"/>
      <name val="Calibri"/>
      <charset val="1"/>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s>
  <cellStyleXfs count="1">
    <xf numFmtId="0" fontId="0" fillId="0" borderId="0"/>
  </cellStyleXfs>
  <cellXfs count="123">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6" fillId="0" borderId="0" xfId="0" applyFont="1" applyAlignment="1">
      <alignment vertical="top" wrapText="1"/>
    </xf>
    <xf numFmtId="0" fontId="5" fillId="4" borderId="0" xfId="0" applyFont="1" applyFill="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0" fontId="7" fillId="2" borderId="1" xfId="0" applyFont="1" applyFill="1" applyBorder="1" applyAlignment="1" applyProtection="1">
      <alignment vertical="center" wrapText="1"/>
      <protection locked="0"/>
    </xf>
    <xf numFmtId="0" fontId="7" fillId="0" borderId="1" xfId="0" applyFont="1" applyBorder="1"/>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0" fontId="7" fillId="3" borderId="1" xfId="0"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0" borderId="0" xfId="0" applyAlignment="1">
      <alignment vertical="center"/>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0" fontId="5" fillId="4" borderId="0" xfId="0" applyFont="1" applyFill="1" applyAlignment="1">
      <alignment vertical="top" wrapText="1"/>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10" fillId="0" borderId="0" xfId="0" applyFont="1"/>
    <xf numFmtId="171" fontId="0" fillId="3" borderId="1" xfId="0" applyNumberFormat="1" applyFill="1" applyBorder="1"/>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6" fillId="0" borderId="0" xfId="0" applyFont="1" applyAlignment="1">
      <alignment vertical="top" wrapText="1"/>
    </xf>
    <xf numFmtId="0" fontId="0" fillId="0" borderId="0" xfId="0"/>
    <xf numFmtId="0" fontId="7" fillId="2" borderId="1" xfId="0" applyFont="1" applyFill="1" applyBorder="1" applyAlignment="1" applyProtection="1">
      <alignment vertical="top" wrapText="1"/>
      <protection locked="0"/>
    </xf>
    <xf numFmtId="0" fontId="3" fillId="0" borderId="0" xfId="0" applyFont="1" applyAlignment="1">
      <alignment vertical="top" wrapText="1"/>
    </xf>
    <xf numFmtId="0" fontId="9" fillId="0" borderId="0" xfId="0" applyFont="1" applyAlignment="1">
      <alignment vertical="top" wrapText="1"/>
    </xf>
    <xf numFmtId="0" fontId="5" fillId="4" borderId="0" xfId="0" applyFont="1" applyFill="1" applyAlignment="1">
      <alignment vertical="center" wrapText="1"/>
    </xf>
    <xf numFmtId="0" fontId="7" fillId="0" borderId="1" xfId="0" applyFont="1" applyBorder="1"/>
    <xf numFmtId="0" fontId="7" fillId="3" borderId="1" xfId="0" applyFont="1" applyFill="1" applyBorder="1"/>
    <xf numFmtId="0" fontId="2" fillId="0" borderId="0" xfId="0" applyFont="1" applyAlignment="1">
      <alignment vertical="top" wrapText="1"/>
    </xf>
    <xf numFmtId="0" fontId="10" fillId="0" borderId="0" xfId="0" applyFont="1" applyAlignment="1">
      <alignment vertical="top" wrapText="1"/>
    </xf>
    <xf numFmtId="164" fontId="0" fillId="3" borderId="1" xfId="0" applyNumberFormat="1" applyFill="1" applyBorder="1" applyAlignment="1">
      <alignment vertical="center"/>
    </xf>
    <xf numFmtId="167" fontId="0" fillId="3" borderId="1" xfId="0" applyNumberFormat="1" applyFill="1" applyBorder="1" applyAlignment="1">
      <alignment vertical="center"/>
    </xf>
    <xf numFmtId="164" fontId="7" fillId="2" borderId="1" xfId="0" applyNumberFormat="1" applyFont="1" applyFill="1" applyBorder="1" applyAlignment="1" applyProtection="1">
      <alignment vertical="center"/>
      <protection locked="0"/>
    </xf>
    <xf numFmtId="9" fontId="7" fillId="2" borderId="1" xfId="0" applyNumberFormat="1" applyFont="1" applyFill="1" applyBorder="1" applyAlignment="1" applyProtection="1">
      <alignment vertical="center"/>
      <protection locked="0"/>
    </xf>
    <xf numFmtId="0" fontId="0" fillId="2" borderId="1" xfId="0" applyFill="1" applyBorder="1" applyAlignment="1" applyProtection="1">
      <alignment vertical="center" wrapText="1"/>
      <protection locked="0"/>
    </xf>
    <xf numFmtId="0" fontId="0" fillId="0" borderId="0" xfId="0" applyBorder="1"/>
    <xf numFmtId="0" fontId="5" fillId="4" borderId="0" xfId="0" applyFont="1" applyFill="1" applyBorder="1" applyAlignment="1">
      <alignment vertical="center" wrapText="1"/>
    </xf>
    <xf numFmtId="0" fontId="3" fillId="0" borderId="2" xfId="0" applyFont="1" applyBorder="1"/>
    <xf numFmtId="0" fontId="0" fillId="0" borderId="2" xfId="0" applyBorder="1"/>
    <xf numFmtId="0" fontId="3" fillId="0" borderId="1" xfId="0" applyFont="1" applyBorder="1"/>
    <xf numFmtId="0" fontId="0" fillId="0" borderId="0" xfId="0" applyBorder="1" applyAlignment="1">
      <alignment vertical="center"/>
    </xf>
    <xf numFmtId="0" fontId="6" fillId="0" borderId="1" xfId="0" applyFont="1" applyBorder="1" applyAlignment="1">
      <alignment vertical="center" wrapText="1"/>
    </xf>
    <xf numFmtId="0" fontId="5" fillId="4" borderId="0" xfId="0" applyFont="1" applyFill="1" applyBorder="1" applyAlignment="1">
      <alignment vertical="top" wrapText="1"/>
    </xf>
    <xf numFmtId="0" fontId="7" fillId="2" borderId="1" xfId="0" applyFont="1" applyFill="1" applyBorder="1" applyAlignment="1" applyProtection="1">
      <alignment vertical="center"/>
      <protection locked="0"/>
    </xf>
    <xf numFmtId="0" fontId="6" fillId="0" borderId="0" xfId="0" applyFont="1" applyBorder="1"/>
    <xf numFmtId="0" fontId="0" fillId="0" borderId="0" xfId="0" applyBorder="1"/>
    <xf numFmtId="0" fontId="6" fillId="0" borderId="0" xfId="0" applyFont="1" applyBorder="1" applyAlignment="1">
      <alignment vertical="top" wrapText="1"/>
    </xf>
    <xf numFmtId="0" fontId="6" fillId="0" borderId="1" xfId="0" applyFont="1" applyBorder="1"/>
    <xf numFmtId="0" fontId="6" fillId="0" borderId="1" xfId="0" applyFont="1" applyBorder="1" applyAlignment="1">
      <alignment vertical="top" wrapText="1"/>
    </xf>
    <xf numFmtId="0" fontId="0" fillId="0" borderId="1" xfId="0" applyBorder="1"/>
    <xf numFmtId="0" fontId="3" fillId="5" borderId="1" xfId="0" applyFont="1" applyFill="1" applyBorder="1"/>
    <xf numFmtId="170" fontId="0" fillId="0" borderId="1" xfId="0" applyNumberFormat="1" applyBorder="1"/>
    <xf numFmtId="164" fontId="0" fillId="0" borderId="1" xfId="0" applyNumberFormat="1" applyBorder="1"/>
    <xf numFmtId="0" fontId="3" fillId="0" borderId="0" xfId="0" applyFont="1" applyBorder="1"/>
    <xf numFmtId="0" fontId="7" fillId="0" borderId="2" xfId="0" applyFont="1" applyBorder="1"/>
    <xf numFmtId="167" fontId="0" fillId="3" borderId="2" xfId="0" applyNumberFormat="1" applyFill="1" applyBorder="1"/>
    <xf numFmtId="9" fontId="7" fillId="3" borderId="2" xfId="0" applyNumberFormat="1" applyFont="1" applyFill="1" applyBorder="1"/>
    <xf numFmtId="0" fontId="0" fillId="0" borderId="1" xfId="0" applyBorder="1" applyAlignment="1" applyProtection="1">
      <alignment vertical="top" wrapText="1"/>
      <protection locked="0"/>
    </xf>
    <xf numFmtId="164" fontId="7" fillId="3" borderId="2" xfId="0" applyNumberFormat="1" applyFont="1" applyFill="1" applyBorder="1"/>
    <xf numFmtId="0" fontId="7" fillId="0" borderId="1" xfId="0" applyFont="1" applyBorder="1" applyAlignment="1">
      <alignment horizontal="center"/>
    </xf>
    <xf numFmtId="171" fontId="7" fillId="3" borderId="1" xfId="0" applyNumberFormat="1" applyFont="1" applyFill="1" applyBorder="1" applyAlignment="1">
      <alignment vertical="center" wrapText="1"/>
    </xf>
    <xf numFmtId="1" fontId="7" fillId="3" borderId="1" xfId="0" applyNumberFormat="1" applyFont="1" applyFill="1" applyBorder="1" applyAlignment="1">
      <alignment horizontal="center"/>
    </xf>
    <xf numFmtId="170" fontId="7" fillId="3" borderId="1" xfId="0" applyNumberFormat="1" applyFont="1" applyFill="1" applyBorder="1"/>
    <xf numFmtId="0" fontId="11" fillId="3" borderId="1" xfId="0" applyFont="1" applyFill="1" applyBorder="1"/>
    <xf numFmtId="0" fontId="3" fillId="0" borderId="1" xfId="0" applyFont="1" applyBorder="1" applyAlignment="1">
      <alignment vertical="center" wrapText="1"/>
    </xf>
    <xf numFmtId="0" fontId="0" fillId="2" borderId="1" xfId="0" applyFill="1" applyBorder="1" applyAlignment="1" applyProtection="1">
      <alignment vertical="top" wrapText="1"/>
      <protection locked="0"/>
    </xf>
    <xf numFmtId="0" fontId="0" fillId="2" borderId="1" xfId="0" applyFill="1" applyBorder="1" applyProtection="1">
      <protection locked="0"/>
    </xf>
    <xf numFmtId="0" fontId="3" fillId="0" borderId="1" xfId="0" applyFont="1" applyBorder="1" applyAlignment="1">
      <alignment vertical="top" wrapText="1"/>
    </xf>
    <xf numFmtId="2" fontId="7" fillId="0" borderId="1" xfId="0" applyNumberFormat="1" applyFont="1" applyBorder="1"/>
    <xf numFmtId="3" fontId="7" fillId="0" borderId="1" xfId="0" applyNumberFormat="1" applyFont="1" applyBorder="1"/>
    <xf numFmtId="0" fontId="7" fillId="0" borderId="1" xfId="0" applyFont="1" applyBorder="1" applyAlignment="1">
      <alignment vertical="top" wrapText="1"/>
    </xf>
  </cellXfs>
  <cellStyles count="1">
    <cellStyle name="Bình thường"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opLeftCell="A7" zoomScaleNormal="100" workbookViewId="0"/>
  </sheetViews>
  <sheetFormatPr defaultColWidth="8.6640625" defaultRowHeight="14.4" x14ac:dyDescent="0.3"/>
  <cols>
    <col min="1" max="1" width="130" customWidth="1"/>
  </cols>
  <sheetData>
    <row r="1" spans="1:1" ht="17.25" customHeight="1" x14ac:dyDescent="0.3">
      <c r="A1" s="1" t="s">
        <v>0</v>
      </c>
    </row>
    <row r="2" spans="1:1" ht="46.5" customHeight="1" x14ac:dyDescent="0.3">
      <c r="A2" s="2" t="s">
        <v>1</v>
      </c>
    </row>
    <row r="3" spans="1:1" ht="31.5" customHeight="1" x14ac:dyDescent="0.3">
      <c r="A3" s="3" t="s">
        <v>2</v>
      </c>
    </row>
    <row r="4" spans="1:1" ht="31.5" customHeight="1" x14ac:dyDescent="0.3">
      <c r="A4" s="3" t="s">
        <v>3</v>
      </c>
    </row>
    <row r="5" spans="1:1" ht="46.5" customHeight="1" x14ac:dyDescent="0.3">
      <c r="A5" s="3" t="s">
        <v>4</v>
      </c>
    </row>
    <row r="6" spans="1:1" ht="46.5" customHeight="1" x14ac:dyDescent="0.3">
      <c r="A6" s="3" t="s">
        <v>5</v>
      </c>
    </row>
    <row r="7" spans="1:1" ht="31.5" customHeight="1" x14ac:dyDescent="0.3">
      <c r="A7" s="3" t="s">
        <v>6</v>
      </c>
    </row>
    <row r="8" spans="1:1" ht="16.5" customHeight="1" x14ac:dyDescent="0.3">
      <c r="A8" s="3" t="s">
        <v>7</v>
      </c>
    </row>
    <row r="9" spans="1:1" ht="46.5" customHeight="1" x14ac:dyDescent="0.3">
      <c r="A9" s="3" t="s">
        <v>8</v>
      </c>
    </row>
    <row r="10" spans="1:1" ht="16.5" customHeight="1" x14ac:dyDescent="0.3">
      <c r="A10" s="3" t="s">
        <v>9</v>
      </c>
    </row>
    <row r="11" spans="1:1" ht="31.5" customHeight="1" x14ac:dyDescent="0.3">
      <c r="A11" s="3" t="s">
        <v>10</v>
      </c>
    </row>
    <row r="12" spans="1:1" ht="31.5" customHeight="1" x14ac:dyDescent="0.3">
      <c r="A12" s="3" t="s">
        <v>11</v>
      </c>
    </row>
    <row r="13" spans="1:1" ht="31.5" customHeight="1" x14ac:dyDescent="0.3">
      <c r="A13" s="3" t="s">
        <v>12</v>
      </c>
    </row>
    <row r="14" spans="1:1" ht="16.5" customHeight="1" x14ac:dyDescent="0.3">
      <c r="A14" s="3" t="s">
        <v>13</v>
      </c>
    </row>
    <row r="15" spans="1:1" ht="15" customHeight="1" x14ac:dyDescent="0.3">
      <c r="A15" s="4" t="s">
        <v>14</v>
      </c>
    </row>
    <row r="16" spans="1:1" ht="15" customHeight="1" x14ac:dyDescent="0.3">
      <c r="A16" s="5" t="s">
        <v>15</v>
      </c>
    </row>
    <row r="17" spans="1:1" ht="15" customHeight="1" x14ac:dyDescent="0.3">
      <c r="A17" s="6" t="s">
        <v>16</v>
      </c>
    </row>
    <row r="18" spans="1:1" ht="15" customHeight="1" x14ac:dyDescent="0.3">
      <c r="A18" s="7"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6640625" defaultRowHeight="14.4" x14ac:dyDescent="0.3"/>
  <cols>
    <col min="1" max="1" width="52" customWidth="1"/>
    <col min="2" max="2" width="30.77734375" customWidth="1"/>
    <col min="3" max="4" width="46" customWidth="1"/>
    <col min="5" max="5" width="36" customWidth="1"/>
    <col min="60" max="60" width="9.21875" customWidth="1"/>
  </cols>
  <sheetData>
    <row r="1" spans="1:5" ht="17.25" customHeight="1" x14ac:dyDescent="0.3">
      <c r="A1" s="1" t="s">
        <v>18</v>
      </c>
    </row>
    <row r="2" spans="1:5" ht="15" customHeight="1" x14ac:dyDescent="0.3">
      <c r="A2" s="8" t="s">
        <v>19</v>
      </c>
    </row>
    <row r="4" spans="1:5" ht="26.25" customHeight="1" x14ac:dyDescent="0.3">
      <c r="A4" s="9" t="s">
        <v>20</v>
      </c>
      <c r="B4" s="9" t="s">
        <v>21</v>
      </c>
      <c r="C4" s="9" t="s">
        <v>22</v>
      </c>
      <c r="D4" s="9" t="s">
        <v>23</v>
      </c>
      <c r="E4" s="9" t="s">
        <v>24</v>
      </c>
    </row>
    <row r="5" spans="1:5" ht="46.05" customHeight="1" x14ac:dyDescent="0.3">
      <c r="A5" s="50" t="s">
        <v>25</v>
      </c>
      <c r="B5" s="86" t="s">
        <v>26</v>
      </c>
      <c r="C5" s="50" t="s">
        <v>27</v>
      </c>
      <c r="D5" s="50" t="s">
        <v>28</v>
      </c>
      <c r="E5" s="86" t="s">
        <v>29</v>
      </c>
    </row>
    <row r="6" spans="1:5" ht="46.05" customHeight="1" x14ac:dyDescent="0.3">
      <c r="A6" s="50" t="s">
        <v>30</v>
      </c>
      <c r="B6" s="86" t="s">
        <v>26</v>
      </c>
      <c r="C6" s="50" t="s">
        <v>31</v>
      </c>
      <c r="D6" s="50" t="s">
        <v>32</v>
      </c>
      <c r="E6" s="86" t="s">
        <v>33</v>
      </c>
    </row>
    <row r="7" spans="1:5" ht="46.05" customHeight="1" x14ac:dyDescent="0.3">
      <c r="A7" s="50" t="s">
        <v>34</v>
      </c>
      <c r="B7" s="86" t="s">
        <v>26</v>
      </c>
      <c r="C7" s="50" t="s">
        <v>35</v>
      </c>
      <c r="D7" s="50" t="s">
        <v>36</v>
      </c>
      <c r="E7" s="86" t="s">
        <v>37</v>
      </c>
    </row>
    <row r="8" spans="1:5" ht="46.05" customHeight="1" x14ac:dyDescent="0.3">
      <c r="A8" s="50" t="s">
        <v>38</v>
      </c>
      <c r="B8" s="86" t="s">
        <v>26</v>
      </c>
      <c r="C8" s="50" t="s">
        <v>39</v>
      </c>
      <c r="D8" s="50" t="s">
        <v>40</v>
      </c>
      <c r="E8" s="86" t="s">
        <v>41</v>
      </c>
    </row>
    <row r="9" spans="1:5" ht="46.05" customHeight="1" x14ac:dyDescent="0.3">
      <c r="A9" s="50" t="s">
        <v>42</v>
      </c>
      <c r="B9" s="86" t="s">
        <v>26</v>
      </c>
      <c r="C9" s="50" t="s">
        <v>43</v>
      </c>
      <c r="D9" s="50" t="s">
        <v>44</v>
      </c>
      <c r="E9" s="86" t="s">
        <v>45</v>
      </c>
    </row>
    <row r="10" spans="1:5" ht="46.05" customHeight="1" x14ac:dyDescent="0.3">
      <c r="A10" s="50" t="s">
        <v>46</v>
      </c>
      <c r="B10" s="86" t="s">
        <v>26</v>
      </c>
      <c r="C10" s="50" t="s">
        <v>47</v>
      </c>
      <c r="D10" s="50" t="s">
        <v>48</v>
      </c>
      <c r="E10" s="86" t="s">
        <v>49</v>
      </c>
    </row>
    <row r="12" spans="1:5" ht="15" customHeight="1" x14ac:dyDescent="0.3">
      <c r="A12" s="4" t="s">
        <v>50</v>
      </c>
      <c r="B12" s="6">
        <f>COUNTIF(B5:B10,"Có")</f>
        <v>0</v>
      </c>
    </row>
    <row r="13" spans="1:5" ht="15" customHeight="1" x14ac:dyDescent="0.3">
      <c r="A13" s="8" t="s">
        <v>51</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zoomScaleNormal="100" workbookViewId="0">
      <pane ySplit="6" topLeftCell="A7" activePane="bottomLeft" state="frozen"/>
      <selection pane="bottomLeft"/>
    </sheetView>
  </sheetViews>
  <sheetFormatPr defaultColWidth="8.6640625" defaultRowHeight="14.4" x14ac:dyDescent="0.3"/>
  <cols>
    <col min="1" max="1" width="6" customWidth="1"/>
    <col min="2" max="2" width="60" customWidth="1"/>
    <col min="3" max="3" width="14" customWidth="1"/>
    <col min="4" max="4" width="38.77734375" customWidth="1"/>
    <col min="5" max="5" width="14" customWidth="1"/>
    <col min="6" max="6" width="30" customWidth="1"/>
    <col min="7" max="7" width="34" customWidth="1"/>
    <col min="9" max="9" width="52.77734375" customWidth="1"/>
    <col min="60" max="60" width="9.21875" customWidth="1"/>
  </cols>
  <sheetData>
    <row r="1" spans="1:7" ht="17.25" customHeight="1" x14ac:dyDescent="0.3">
      <c r="A1" s="1" t="s">
        <v>52</v>
      </c>
    </row>
    <row r="2" spans="1:7" ht="15" customHeight="1" x14ac:dyDescent="0.3">
      <c r="A2" s="8" t="s">
        <v>53</v>
      </c>
    </row>
    <row r="3" spans="1:7" ht="31.5" customHeight="1" x14ac:dyDescent="0.3">
      <c r="A3" s="72" t="s">
        <v>54</v>
      </c>
      <c r="B3" s="73"/>
      <c r="C3" s="73"/>
      <c r="D3" s="73"/>
      <c r="E3" s="73"/>
      <c r="F3" s="73"/>
      <c r="G3" s="73"/>
    </row>
    <row r="5" spans="1:7" ht="15" customHeight="1" x14ac:dyDescent="0.3">
      <c r="A5" s="105" t="s">
        <v>55</v>
      </c>
      <c r="B5" s="87"/>
      <c r="C5" s="87"/>
      <c r="D5" s="87"/>
      <c r="E5" s="87"/>
      <c r="F5" s="87"/>
      <c r="G5" s="87"/>
    </row>
    <row r="6" spans="1:7" ht="31.5" customHeight="1" x14ac:dyDescent="0.3">
      <c r="A6" s="88" t="s">
        <v>56</v>
      </c>
      <c r="B6" s="88" t="s">
        <v>57</v>
      </c>
      <c r="C6" s="88" t="s">
        <v>58</v>
      </c>
      <c r="D6" s="88" t="s">
        <v>59</v>
      </c>
      <c r="E6" s="88" t="s">
        <v>60</v>
      </c>
      <c r="F6" s="88" t="s">
        <v>61</v>
      </c>
      <c r="G6" s="88" t="s">
        <v>62</v>
      </c>
    </row>
    <row r="7" spans="1:7" ht="31.95" customHeight="1" x14ac:dyDescent="0.3">
      <c r="A7" s="13">
        <v>1</v>
      </c>
      <c r="B7" s="14" t="s">
        <v>63</v>
      </c>
      <c r="C7" s="15">
        <v>1000</v>
      </c>
      <c r="D7" s="15"/>
      <c r="E7" s="15"/>
      <c r="F7" s="16"/>
      <c r="G7" s="17" t="s">
        <v>64</v>
      </c>
    </row>
    <row r="8" spans="1:7" ht="46.05" customHeight="1" x14ac:dyDescent="0.3">
      <c r="A8" s="13">
        <v>2</v>
      </c>
      <c r="B8" s="14" t="s">
        <v>65</v>
      </c>
      <c r="C8" s="15">
        <v>300</v>
      </c>
      <c r="D8" s="15"/>
      <c r="E8" s="15"/>
      <c r="F8" s="16" t="s">
        <v>66</v>
      </c>
      <c r="G8" s="17" t="s">
        <v>67</v>
      </c>
    </row>
    <row r="9" spans="1:7" ht="46.05" customHeight="1" x14ac:dyDescent="0.3">
      <c r="A9" s="13">
        <v>3</v>
      </c>
      <c r="B9" s="14" t="s">
        <v>68</v>
      </c>
      <c r="C9" s="15">
        <v>360</v>
      </c>
      <c r="D9" s="15"/>
      <c r="E9" s="15"/>
      <c r="F9" s="16" t="s">
        <v>69</v>
      </c>
      <c r="G9" s="17" t="s">
        <v>70</v>
      </c>
    </row>
    <row r="10" spans="1:7" ht="31.95" customHeight="1" x14ac:dyDescent="0.3">
      <c r="A10" s="13">
        <v>4</v>
      </c>
      <c r="B10" s="14" t="s">
        <v>71</v>
      </c>
      <c r="C10" s="15">
        <v>50</v>
      </c>
      <c r="D10" s="15">
        <v>80</v>
      </c>
      <c r="E10" s="15">
        <v>110</v>
      </c>
      <c r="F10" s="16"/>
      <c r="G10" s="17" t="s">
        <v>72</v>
      </c>
    </row>
    <row r="11" spans="1:7" ht="46.05" customHeight="1" x14ac:dyDescent="0.3">
      <c r="A11" s="13">
        <v>5</v>
      </c>
      <c r="B11" s="14" t="s">
        <v>73</v>
      </c>
      <c r="C11" s="15">
        <v>240</v>
      </c>
      <c r="D11" s="15"/>
      <c r="E11" s="15"/>
      <c r="F11" s="16" t="s">
        <v>74</v>
      </c>
      <c r="G11" s="17" t="s">
        <v>75</v>
      </c>
    </row>
    <row r="12" spans="1:7" ht="46.05" customHeight="1" x14ac:dyDescent="0.3">
      <c r="A12" s="13">
        <v>6</v>
      </c>
      <c r="B12" s="14" t="s">
        <v>76</v>
      </c>
      <c r="C12" s="15"/>
      <c r="D12" s="15">
        <v>90</v>
      </c>
      <c r="E12" s="15"/>
      <c r="F12" s="16" t="s">
        <v>77</v>
      </c>
      <c r="G12" s="17" t="s">
        <v>78</v>
      </c>
    </row>
    <row r="13" spans="1:7" ht="31.95" customHeight="1" x14ac:dyDescent="0.3">
      <c r="A13" s="13">
        <v>7</v>
      </c>
      <c r="B13" s="14" t="s">
        <v>79</v>
      </c>
      <c r="C13" s="15">
        <v>15</v>
      </c>
      <c r="D13" s="15">
        <v>25</v>
      </c>
      <c r="E13" s="15">
        <v>35</v>
      </c>
      <c r="F13" s="16" t="s">
        <v>80</v>
      </c>
      <c r="G13" s="17" t="s">
        <v>81</v>
      </c>
    </row>
    <row r="14" spans="1:7" ht="16.95" customHeight="1" x14ac:dyDescent="0.3">
      <c r="A14" s="13">
        <v>8</v>
      </c>
      <c r="B14" s="14" t="s">
        <v>82</v>
      </c>
      <c r="C14" s="15">
        <v>10</v>
      </c>
      <c r="D14" s="15">
        <v>10</v>
      </c>
      <c r="E14" s="15">
        <v>10</v>
      </c>
      <c r="F14" s="16"/>
      <c r="G14" s="17" t="s">
        <v>83</v>
      </c>
    </row>
    <row r="15" spans="1:7" ht="30" customHeight="1" x14ac:dyDescent="0.3">
      <c r="A15" s="13">
        <v>9</v>
      </c>
      <c r="B15" s="14" t="s">
        <v>84</v>
      </c>
      <c r="C15" s="15">
        <v>120</v>
      </c>
      <c r="D15" s="15">
        <v>120</v>
      </c>
      <c r="E15" s="15">
        <v>120</v>
      </c>
      <c r="F15" s="16"/>
      <c r="G15" s="17" t="s">
        <v>85</v>
      </c>
    </row>
    <row r="16" spans="1:7" ht="30" customHeight="1" x14ac:dyDescent="0.3">
      <c r="A16" s="13">
        <v>10</v>
      </c>
      <c r="B16" s="14" t="s">
        <v>86</v>
      </c>
      <c r="C16" s="15">
        <v>20</v>
      </c>
      <c r="D16" s="15">
        <v>20</v>
      </c>
      <c r="E16" s="15">
        <v>20</v>
      </c>
      <c r="F16" s="16"/>
      <c r="G16" s="17" t="s">
        <v>85</v>
      </c>
    </row>
    <row r="17" spans="1:7" ht="31.95" customHeight="1" x14ac:dyDescent="0.3">
      <c r="A17" s="13">
        <v>11</v>
      </c>
      <c r="B17" s="14" t="s">
        <v>87</v>
      </c>
      <c r="C17" s="15">
        <v>0</v>
      </c>
      <c r="D17" s="15">
        <v>0</v>
      </c>
      <c r="E17" s="15">
        <v>0</v>
      </c>
      <c r="F17" s="16" t="s">
        <v>88</v>
      </c>
      <c r="G17" s="17" t="s">
        <v>89</v>
      </c>
    </row>
    <row r="18" spans="1:7" x14ac:dyDescent="0.3">
      <c r="A18" s="87"/>
      <c r="B18" s="87"/>
      <c r="C18" s="87"/>
      <c r="D18" s="87"/>
    </row>
    <row r="19" spans="1:7" ht="16.5" customHeight="1" x14ac:dyDescent="0.3">
      <c r="A19" s="75" t="s">
        <v>90</v>
      </c>
      <c r="B19" s="73"/>
      <c r="C19" s="73"/>
      <c r="D19" s="73"/>
      <c r="E19" s="73"/>
      <c r="F19" s="73"/>
      <c r="G19" s="73"/>
    </row>
    <row r="20" spans="1:7" ht="15" customHeight="1" x14ac:dyDescent="0.3">
      <c r="B20" s="12" t="s">
        <v>91</v>
      </c>
      <c r="C20" s="12" t="s">
        <v>58</v>
      </c>
      <c r="D20" s="12" t="s">
        <v>59</v>
      </c>
      <c r="E20" s="12" t="s">
        <v>60</v>
      </c>
      <c r="F20" s="12" t="s">
        <v>92</v>
      </c>
      <c r="G20" s="12" t="s">
        <v>93</v>
      </c>
    </row>
    <row r="21" spans="1:7" ht="15" customHeight="1" x14ac:dyDescent="0.3">
      <c r="A21" s="87"/>
      <c r="B21" s="18" t="s">
        <v>94</v>
      </c>
      <c r="C21" s="19">
        <f>50+240/12</f>
        <v>70</v>
      </c>
      <c r="D21" s="19">
        <f>80+240/12+90</f>
        <v>190</v>
      </c>
      <c r="E21" s="19">
        <f>110+240/12</f>
        <v>130</v>
      </c>
      <c r="F21" s="20">
        <f t="shared" ref="F21:F31" si="0">IF(COUNT(C21:E21)=0,"",SUM(C21:E21))</f>
        <v>390</v>
      </c>
      <c r="G21" s="37"/>
    </row>
    <row r="22" spans="1:7" ht="15" customHeight="1" x14ac:dyDescent="0.3">
      <c r="A22" s="87"/>
      <c r="B22" s="18" t="s">
        <v>95</v>
      </c>
      <c r="C22" s="19">
        <f>15+10</f>
        <v>25</v>
      </c>
      <c r="D22" s="19">
        <f>25+10</f>
        <v>35</v>
      </c>
      <c r="E22" s="19">
        <f>35+10</f>
        <v>45</v>
      </c>
      <c r="F22" s="20">
        <f t="shared" si="0"/>
        <v>105</v>
      </c>
      <c r="G22" s="37"/>
    </row>
    <row r="23" spans="1:7" ht="15" customHeight="1" x14ac:dyDescent="0.3">
      <c r="B23" s="21" t="s">
        <v>96</v>
      </c>
      <c r="C23" s="19">
        <f>C21-C22</f>
        <v>45</v>
      </c>
      <c r="D23" s="19">
        <f>D21-D22</f>
        <v>155</v>
      </c>
      <c r="E23" s="19">
        <f>E21-E22</f>
        <v>85</v>
      </c>
      <c r="F23" s="22">
        <f t="shared" si="0"/>
        <v>285</v>
      </c>
      <c r="G23" s="23" t="str">
        <f>IF(COUNT(C21:E21,C22:E22,C23:E23)&lt;9,"Chưa điền",IF(AND(ABS(C23-(C21-C22))&lt;0.01,ABS(D23-(D21-D22))&lt;0.01,ABS(E23-(E21-E22))&lt;0.01),"Đạt","Xem lại phép trừ"))</f>
        <v>Đạt</v>
      </c>
    </row>
    <row r="24" spans="1:7" ht="15" customHeight="1" x14ac:dyDescent="0.3">
      <c r="B24" s="18" t="s">
        <v>97</v>
      </c>
      <c r="C24" s="19">
        <f>120+20</f>
        <v>140</v>
      </c>
      <c r="D24" s="19">
        <f>120+20</f>
        <v>140</v>
      </c>
      <c r="E24" s="19">
        <f>120+20</f>
        <v>140</v>
      </c>
      <c r="F24" s="20">
        <f t="shared" si="0"/>
        <v>420</v>
      </c>
      <c r="G24" s="37"/>
    </row>
    <row r="25" spans="1:7" ht="15" customHeight="1" x14ac:dyDescent="0.3">
      <c r="B25" s="21" t="s">
        <v>98</v>
      </c>
      <c r="C25" s="19">
        <f>C23-C24</f>
        <v>-95</v>
      </c>
      <c r="D25" s="19">
        <f>D23-D24</f>
        <v>15</v>
      </c>
      <c r="E25" s="19">
        <f>E23-E24</f>
        <v>-55</v>
      </c>
      <c r="F25" s="22">
        <f t="shared" si="0"/>
        <v>-135</v>
      </c>
      <c r="G25" s="23" t="str">
        <f>IF(COUNT(C23:E23,C24:E24,C25:E25)&lt;9,"Chưa điền",IF(AND(ABS(C25-(C23-C24))&lt;0.01,ABS(D25-(D23-D24))&lt;0.01,ABS(E25-(E23-E24))&lt;0.01),"Đạt","Xem lại phép trừ"))</f>
        <v>Đạt</v>
      </c>
    </row>
    <row r="26" spans="1:7" ht="15" customHeight="1" x14ac:dyDescent="0.3">
      <c r="B26" s="18" t="s">
        <v>99</v>
      </c>
      <c r="C26" s="19">
        <f>360/36</f>
        <v>10</v>
      </c>
      <c r="D26" s="19">
        <f>360/36</f>
        <v>10</v>
      </c>
      <c r="E26" s="19">
        <f>360/36</f>
        <v>10</v>
      </c>
      <c r="F26" s="20">
        <f t="shared" si="0"/>
        <v>30</v>
      </c>
      <c r="G26" s="37"/>
    </row>
    <row r="27" spans="1:7" ht="15" customHeight="1" x14ac:dyDescent="0.3">
      <c r="B27" s="21" t="s">
        <v>100</v>
      </c>
      <c r="C27" s="19">
        <f>C25-C26</f>
        <v>-105</v>
      </c>
      <c r="D27" s="19">
        <f>D25-D26</f>
        <v>5</v>
      </c>
      <c r="E27" s="19">
        <f>E25-E26</f>
        <v>-65</v>
      </c>
      <c r="F27" s="22">
        <f t="shared" si="0"/>
        <v>-165</v>
      </c>
      <c r="G27" s="23" t="str">
        <f>IF(COUNT(C25:E25,C26:E26,C27:E27)&lt;9,"Chưa điền",IF(AND(ABS(C27-(C25-C26))&lt;0.01,ABS(D27-(D25-D26))&lt;0.01,ABS(E27-(E25-E26))&lt;0.01),"Đạt","Xem lại phép trừ"))</f>
        <v>Đạt</v>
      </c>
    </row>
    <row r="28" spans="1:7" ht="15" customHeight="1" x14ac:dyDescent="0.3">
      <c r="B28" s="18" t="s">
        <v>101</v>
      </c>
      <c r="C28" s="19">
        <f>300*12%/12</f>
        <v>3</v>
      </c>
      <c r="D28" s="19">
        <f>300*12%/12</f>
        <v>3</v>
      </c>
      <c r="E28" s="19">
        <f>300*12%/12</f>
        <v>3</v>
      </c>
      <c r="F28" s="20">
        <f t="shared" si="0"/>
        <v>9</v>
      </c>
      <c r="G28" s="37"/>
    </row>
    <row r="29" spans="1:7" ht="15" customHeight="1" x14ac:dyDescent="0.3">
      <c r="B29" s="21" t="s">
        <v>102</v>
      </c>
      <c r="C29" s="19">
        <f>C27-C28</f>
        <v>-108</v>
      </c>
      <c r="D29" s="19">
        <f>D27-D28</f>
        <v>2</v>
      </c>
      <c r="E29" s="19">
        <f>E27-E28</f>
        <v>-68</v>
      </c>
      <c r="F29" s="22">
        <f t="shared" si="0"/>
        <v>-174</v>
      </c>
      <c r="G29" s="23" t="str">
        <f>IF(COUNT(C27:E27,C28:E28,C29:E29)&lt;9,"Chưa điền",IF(AND(ABS(C29-(C27-C28))&lt;0.01,ABS(D29-(D27-D28))&lt;0.01,ABS(E29-(E27-E28))&lt;0.01),"Đạt","Xem lại phép trừ"))</f>
        <v>Đạt</v>
      </c>
    </row>
    <row r="30" spans="1:7" ht="15" customHeight="1" x14ac:dyDescent="0.3">
      <c r="B30" s="18" t="s">
        <v>87</v>
      </c>
      <c r="C30" s="19">
        <v>0</v>
      </c>
      <c r="D30" s="19">
        <v>0</v>
      </c>
      <c r="E30" s="19">
        <v>0</v>
      </c>
      <c r="F30" s="20">
        <f t="shared" si="0"/>
        <v>0</v>
      </c>
      <c r="G30" s="37"/>
    </row>
    <row r="31" spans="1:7" ht="15" customHeight="1" x14ac:dyDescent="0.3">
      <c r="B31" s="21" t="s">
        <v>103</v>
      </c>
      <c r="C31" s="19">
        <f>C29-C30</f>
        <v>-108</v>
      </c>
      <c r="D31" s="19">
        <f>D29-D30</f>
        <v>2</v>
      </c>
      <c r="E31" s="19">
        <f>E29-E30</f>
        <v>-68</v>
      </c>
      <c r="F31" s="22">
        <f t="shared" si="0"/>
        <v>-174</v>
      </c>
      <c r="G31" s="23" t="str">
        <f>IF(COUNT(C29:E29,C30:E30,C31:E31)&lt;9,"Chưa điền",IF(AND(ABS(C31-(C29-C30))&lt;0.01,ABS(D31-(D29-D30))&lt;0.01,ABS(E31-(E29-E30))&lt;0.01),"Đạt","Xem lại phép trừ"))</f>
        <v>Đạt</v>
      </c>
    </row>
    <row r="32" spans="1:7" ht="15" customHeight="1" x14ac:dyDescent="0.3">
      <c r="B32" s="106" t="s">
        <v>104</v>
      </c>
      <c r="C32" s="108">
        <f>IFERROR(C23/C21,"")</f>
        <v>0.6428571428571429</v>
      </c>
      <c r="D32" s="108">
        <f>IFERROR(D23/D21,"")</f>
        <v>0.81578947368421051</v>
      </c>
      <c r="E32" s="108">
        <f>IFERROR(E23/E21,"")</f>
        <v>0.65384615384615385</v>
      </c>
      <c r="F32" s="108">
        <f>IFERROR(F23/F21,"")</f>
        <v>0.73076923076923073</v>
      </c>
      <c r="G32" s="90"/>
    </row>
    <row r="33" spans="1:7" ht="45" customHeight="1" x14ac:dyDescent="0.3">
      <c r="B33" s="25" t="s">
        <v>105</v>
      </c>
      <c r="C33" s="37"/>
      <c r="D33" s="37"/>
      <c r="E33" s="37"/>
      <c r="F33" s="37"/>
      <c r="G33" s="26" t="str">
        <f>IF(COUNT(C31:E31)&lt;3,"Chưa điền",IF(ABS(F31+174)&lt;0.01,"Đạt: đã ghi theo kỳ","Chưa đúng: có giao dịch đang ghi theo ngày tiền vào ra (xem cột G, dòng 7–17)"))</f>
        <v>Đạt: đã ghi theo kỳ</v>
      </c>
    </row>
    <row r="34" spans="1:7" ht="16.5" customHeight="1" x14ac:dyDescent="0.3">
      <c r="A34" s="75" t="s">
        <v>106</v>
      </c>
      <c r="B34" s="73"/>
      <c r="C34" s="73"/>
      <c r="D34" s="73"/>
      <c r="E34" s="73"/>
      <c r="F34" s="73"/>
      <c r="G34" s="73"/>
    </row>
    <row r="35" spans="1:7" ht="15" customHeight="1" x14ac:dyDescent="0.3">
      <c r="B35" s="12" t="s">
        <v>91</v>
      </c>
      <c r="C35" s="12" t="s">
        <v>107</v>
      </c>
      <c r="G35" s="12" t="s">
        <v>93</v>
      </c>
    </row>
    <row r="36" spans="1:7" ht="15" customHeight="1" x14ac:dyDescent="0.3">
      <c r="B36" s="91" t="s">
        <v>108</v>
      </c>
      <c r="C36" s="37"/>
      <c r="G36" s="37"/>
    </row>
    <row r="37" spans="1:7" ht="15" customHeight="1" x14ac:dyDescent="0.3">
      <c r="B37" s="18" t="s">
        <v>109</v>
      </c>
      <c r="C37" s="19">
        <f>1000+300+240+(50+80+110)-360-(15+25)-(10*3)-(120*3)-(20*3)-(3*3)</f>
        <v>921</v>
      </c>
      <c r="G37" s="37"/>
    </row>
    <row r="38" spans="1:7" ht="15" customHeight="1" x14ac:dyDescent="0.3">
      <c r="B38" s="18" t="s">
        <v>110</v>
      </c>
      <c r="C38" s="19">
        <v>90</v>
      </c>
      <c r="G38" s="37"/>
    </row>
    <row r="39" spans="1:7" ht="15" customHeight="1" x14ac:dyDescent="0.3">
      <c r="B39" s="18" t="s">
        <v>111</v>
      </c>
      <c r="C39" s="19">
        <v>360</v>
      </c>
      <c r="G39" s="37"/>
    </row>
    <row r="40" spans="1:7" ht="15" customHeight="1" x14ac:dyDescent="0.3">
      <c r="B40" s="18" t="s">
        <v>112</v>
      </c>
      <c r="C40" s="19">
        <f>-SUM(C26:E26)</f>
        <v>-30</v>
      </c>
      <c r="G40" s="37"/>
    </row>
    <row r="41" spans="1:7" ht="15" customHeight="1" x14ac:dyDescent="0.3">
      <c r="B41" s="21" t="s">
        <v>113</v>
      </c>
      <c r="C41" s="19">
        <f>SUM(C37:C40)</f>
        <v>1341</v>
      </c>
      <c r="G41" s="23" t="str">
        <f>IF(COUNT(C37:C41)&lt;5,"Chưa điền",IF(ABS(C41-SUM(C37:C40))&lt;0.01,"Đạt","Xem lại phép cộng"))</f>
        <v>Đạt</v>
      </c>
    </row>
    <row r="42" spans="1:7" ht="15" customHeight="1" x14ac:dyDescent="0.3">
      <c r="B42" s="91" t="s">
        <v>114</v>
      </c>
      <c r="C42" s="37"/>
      <c r="G42" s="37"/>
    </row>
    <row r="43" spans="1:7" ht="15" customHeight="1" x14ac:dyDescent="0.3">
      <c r="B43" s="18" t="s">
        <v>115</v>
      </c>
      <c r="C43" s="19">
        <v>35</v>
      </c>
      <c r="G43" s="37"/>
    </row>
    <row r="44" spans="1:7" ht="15" customHeight="1" x14ac:dyDescent="0.3">
      <c r="B44" s="18" t="s">
        <v>116</v>
      </c>
      <c r="C44" s="19">
        <f>240-240/12*3</f>
        <v>180</v>
      </c>
      <c r="G44" s="37"/>
    </row>
    <row r="45" spans="1:7" ht="15" customHeight="1" x14ac:dyDescent="0.3">
      <c r="B45" s="18" t="s">
        <v>117</v>
      </c>
      <c r="C45" s="19">
        <v>300</v>
      </c>
      <c r="G45" s="37"/>
    </row>
    <row r="46" spans="1:7" ht="15" customHeight="1" x14ac:dyDescent="0.3">
      <c r="B46" s="21" t="s">
        <v>118</v>
      </c>
      <c r="C46" s="19">
        <f>SUM(C43:C45)</f>
        <v>515</v>
      </c>
      <c r="G46" s="23" t="str">
        <f>IF(COUNT(C43:C46)&lt;4,"Chưa điền",IF(ABS(C46-SUM(C43:C45))&lt;0.01,"Đạt","Xem lại phép cộng"))</f>
        <v>Đạt</v>
      </c>
    </row>
    <row r="47" spans="1:7" ht="15" customHeight="1" x14ac:dyDescent="0.3">
      <c r="B47" s="91" t="s">
        <v>119</v>
      </c>
      <c r="C47" s="37"/>
      <c r="G47" s="37"/>
    </row>
    <row r="48" spans="1:7" ht="15" customHeight="1" x14ac:dyDescent="0.3">
      <c r="B48" s="18" t="s">
        <v>120</v>
      </c>
      <c r="C48" s="19">
        <v>1000</v>
      </c>
      <c r="G48" s="37"/>
    </row>
    <row r="49" spans="1:7" ht="15" customHeight="1" x14ac:dyDescent="0.3">
      <c r="B49" s="18" t="s">
        <v>121</v>
      </c>
      <c r="C49" s="19">
        <f>SUM(C31:E31)</f>
        <v>-174</v>
      </c>
      <c r="G49" s="37"/>
    </row>
    <row r="50" spans="1:7" ht="15" customHeight="1" x14ac:dyDescent="0.3">
      <c r="B50" s="21" t="s">
        <v>122</v>
      </c>
      <c r="C50" s="19">
        <f>C48+C49</f>
        <v>826</v>
      </c>
      <c r="G50" s="23" t="str">
        <f>IF(COUNT(C48:C50)&lt;3,"Chưa điền",IF(ABS(C50-SUM(C48:C49))&lt;0.01,"Đạt","Xem lại phép cộng"))</f>
        <v>Đạt</v>
      </c>
    </row>
    <row r="51" spans="1:7" ht="15" customHeight="1" x14ac:dyDescent="0.3">
      <c r="B51" s="18" t="s">
        <v>123</v>
      </c>
      <c r="C51" s="19">
        <f>C46+C50</f>
        <v>1341</v>
      </c>
      <c r="G51" s="23" t="str">
        <f>IF(COUNT(C46,C50,C51)&lt;3,"Chưa điền",IF(ABS(C51-(C46+C50))&lt;0.01,"Đạt","Xem lại phép cộng"))</f>
        <v>Đạt</v>
      </c>
    </row>
    <row r="52" spans="1:7" ht="15" customHeight="1" x14ac:dyDescent="0.3">
      <c r="B52" s="21" t="s">
        <v>124</v>
      </c>
      <c r="C52" s="37"/>
      <c r="G52" s="27" t="str">
        <f>IF(COUNT(C41,C51)&lt;2,"Chưa điền",IF(ABS(C41-C51)&lt;0.01,"Đạt: bảng đã cân","Chưa cân: tìm khoản ghi sai"))</f>
        <v>Đạt: bảng đã cân</v>
      </c>
    </row>
    <row r="53" spans="1:7" ht="15" customHeight="1" x14ac:dyDescent="0.3">
      <c r="B53" s="21" t="s">
        <v>125</v>
      </c>
      <c r="C53" s="37"/>
      <c r="G53" s="27" t="str">
        <f>IF(COUNT(C49,F31)&lt;2,"Chưa điền",IF(ABS(C49-F31)&lt;0.01,"Đạt","Chưa khớp bài 1"))</f>
        <v>Đạt</v>
      </c>
    </row>
    <row r="55" spans="1:7" ht="16.5" customHeight="1" x14ac:dyDescent="0.3">
      <c r="A55" s="75" t="s">
        <v>126</v>
      </c>
      <c r="B55" s="73"/>
      <c r="C55" s="73"/>
      <c r="D55" s="73"/>
      <c r="E55" s="73"/>
      <c r="F55" s="73"/>
      <c r="G55" s="73"/>
    </row>
    <row r="56" spans="1:7" ht="15" customHeight="1" x14ac:dyDescent="0.3">
      <c r="B56" s="12" t="s">
        <v>91</v>
      </c>
      <c r="C56" s="12" t="s">
        <v>107</v>
      </c>
      <c r="G56" s="12" t="s">
        <v>93</v>
      </c>
    </row>
    <row r="57" spans="1:7" ht="15" customHeight="1" x14ac:dyDescent="0.3">
      <c r="B57" s="18" t="s">
        <v>103</v>
      </c>
      <c r="C57" s="19">
        <f>SUM(C31:E31)</f>
        <v>-174</v>
      </c>
      <c r="G57" s="37"/>
    </row>
    <row r="58" spans="1:7" ht="16.5" customHeight="1" x14ac:dyDescent="0.3">
      <c r="B58" s="28" t="s">
        <v>127</v>
      </c>
      <c r="C58" s="19">
        <f>SUM(C26:E26)</f>
        <v>30</v>
      </c>
      <c r="G58" s="37"/>
    </row>
    <row r="59" spans="1:7" ht="31.5" customHeight="1" x14ac:dyDescent="0.3">
      <c r="B59" s="28" t="s">
        <v>128</v>
      </c>
      <c r="C59" s="19">
        <f>-C38</f>
        <v>-90</v>
      </c>
      <c r="G59" s="37"/>
    </row>
    <row r="60" spans="1:7" ht="31.5" customHeight="1" x14ac:dyDescent="0.3">
      <c r="B60" s="28" t="s">
        <v>129</v>
      </c>
      <c r="C60" s="19">
        <f>C43</f>
        <v>35</v>
      </c>
      <c r="G60" s="37"/>
    </row>
    <row r="61" spans="1:7" ht="16.5" customHeight="1" x14ac:dyDescent="0.3">
      <c r="B61" s="28" t="s">
        <v>130</v>
      </c>
      <c r="C61" s="19">
        <f>C44</f>
        <v>180</v>
      </c>
      <c r="G61" s="37"/>
    </row>
    <row r="62" spans="1:7" ht="15" customHeight="1" x14ac:dyDescent="0.3">
      <c r="B62" s="21" t="s">
        <v>131</v>
      </c>
      <c r="C62" s="19">
        <f>SUM(C57:C61)</f>
        <v>-19</v>
      </c>
      <c r="G62" s="23" t="str">
        <f>IF(COUNT(C57:C62)&lt;6,"Chưa điền",IF(ABS(C62-SUM(C57:C61))&lt;0.01,"Đạt","Xem lại phép cộng"))</f>
        <v>Đạt</v>
      </c>
    </row>
    <row r="63" spans="1:7" ht="15" customHeight="1" x14ac:dyDescent="0.3">
      <c r="B63" s="18" t="s">
        <v>132</v>
      </c>
      <c r="C63" s="19">
        <v>-360</v>
      </c>
      <c r="G63" s="37"/>
    </row>
    <row r="64" spans="1:7" ht="15" customHeight="1" x14ac:dyDescent="0.3">
      <c r="B64" s="21" t="s">
        <v>133</v>
      </c>
      <c r="C64" s="19">
        <f>C63</f>
        <v>-360</v>
      </c>
      <c r="G64" s="23" t="str">
        <f>IF(COUNT(C63:C64)&lt;2,"Chưa điền",IF(ABS(C64-SUM(C63:C63))&lt;0.01,"Đạt","Xem lại phép cộng"))</f>
        <v>Đạt</v>
      </c>
    </row>
    <row r="65" spans="1:7" ht="15" customHeight="1" x14ac:dyDescent="0.3">
      <c r="B65" s="18" t="s">
        <v>134</v>
      </c>
      <c r="C65" s="19">
        <v>1000</v>
      </c>
      <c r="G65" s="37"/>
    </row>
    <row r="66" spans="1:7" ht="15" customHeight="1" x14ac:dyDescent="0.3">
      <c r="B66" s="18" t="s">
        <v>135</v>
      </c>
      <c r="C66" s="19">
        <v>300</v>
      </c>
      <c r="G66" s="37"/>
    </row>
    <row r="67" spans="1:7" ht="15" customHeight="1" x14ac:dyDescent="0.3">
      <c r="B67" s="21" t="s">
        <v>136</v>
      </c>
      <c r="C67" s="19">
        <f>C65+C66</f>
        <v>1300</v>
      </c>
      <c r="G67" s="23" t="str">
        <f>IF(COUNT(C65:C67)&lt;3,"Chưa điền",IF(ABS(C67-SUM(C65:C66))&lt;0.01,"Đạt","Xem lại phép cộng"))</f>
        <v>Đạt</v>
      </c>
    </row>
    <row r="68" spans="1:7" ht="15" customHeight="1" x14ac:dyDescent="0.3">
      <c r="B68" s="21" t="s">
        <v>137</v>
      </c>
      <c r="C68" s="19">
        <f>C62+C64+C67</f>
        <v>921</v>
      </c>
      <c r="G68" s="23" t="str">
        <f>IF(COUNT(C62,C64,C67,C68)&lt;4,"Chưa điền",IF(ABS(C68-(C62+C64+C67))&lt;0.01,"Đạt","Xem lại phép cộng"))</f>
        <v>Đạt</v>
      </c>
    </row>
    <row r="69" spans="1:7" ht="15" customHeight="1" x14ac:dyDescent="0.3">
      <c r="B69" s="18" t="s">
        <v>138</v>
      </c>
      <c r="C69" s="29">
        <v>0</v>
      </c>
      <c r="G69" s="37"/>
    </row>
    <row r="70" spans="1:7" ht="15" customHeight="1" x14ac:dyDescent="0.3">
      <c r="B70" s="21" t="s">
        <v>139</v>
      </c>
      <c r="C70" s="19">
        <f>C69+C68</f>
        <v>921</v>
      </c>
      <c r="G70" s="23" t="str">
        <f>IF(COUNT(C68:C70)&lt;3,"Chưa điền",IF(ABS(C70-(C68+C69))&lt;0.01,"Đạt","Xem lại phép cộng"))</f>
        <v>Đạt</v>
      </c>
    </row>
    <row r="71" spans="1:7" ht="31.5" customHeight="1" x14ac:dyDescent="0.3">
      <c r="B71" s="21" t="s">
        <v>140</v>
      </c>
      <c r="C71" s="37"/>
      <c r="G71" s="26" t="str">
        <f>IF(COUNT(C70,C37)&lt;2,"Chưa điền",IF(ABS(C70-C37)&lt;0.01,"Đạt: ba báo cáo đã khớp","Chưa khớp: soát dấu +/− ở dòng 58–66, rồi soát dòng Tiền ở bảng cân đối"))</f>
        <v>Đạt: ba báo cáo đã khớp</v>
      </c>
    </row>
    <row r="72" spans="1:7" ht="15" customHeight="1" x14ac:dyDescent="0.3">
      <c r="B72" s="21" t="s">
        <v>141</v>
      </c>
      <c r="C72" s="37"/>
      <c r="G72" s="27" t="str">
        <f>IF(COUNT(C57,F31)&lt;2,"Chưa điền",IF(ABS(C57-F31)&lt;0.01,"Đạt","Chưa khớp bài 1"))</f>
        <v>Đạt</v>
      </c>
    </row>
    <row r="74" spans="1:7" ht="15" customHeight="1" x14ac:dyDescent="0.3">
      <c r="A74" s="4" t="s">
        <v>142</v>
      </c>
    </row>
    <row r="75" spans="1:7" ht="46.05" customHeight="1" x14ac:dyDescent="0.3">
      <c r="B75" s="28" t="s">
        <v>143</v>
      </c>
      <c r="C75" s="74" t="s">
        <v>144</v>
      </c>
      <c r="D75" s="109"/>
      <c r="E75" s="109"/>
      <c r="F75" s="109"/>
      <c r="G75" s="109"/>
    </row>
    <row r="76" spans="1:7" ht="31.95" customHeight="1" x14ac:dyDescent="0.3">
      <c r="B76" s="28" t="s">
        <v>145</v>
      </c>
      <c r="C76" s="74" t="s">
        <v>146</v>
      </c>
      <c r="D76" s="109"/>
      <c r="E76" s="109"/>
      <c r="F76" s="109"/>
      <c r="G76" s="109"/>
    </row>
    <row r="77" spans="1:7" ht="31.95" customHeight="1" x14ac:dyDescent="0.3">
      <c r="B77" s="28" t="s">
        <v>147</v>
      </c>
      <c r="C77" s="74" t="s">
        <v>148</v>
      </c>
      <c r="D77" s="109"/>
      <c r="E77" s="109"/>
      <c r="F77" s="109"/>
      <c r="G77" s="109"/>
    </row>
    <row r="78" spans="1:7" ht="31.95" customHeight="1" x14ac:dyDescent="0.3">
      <c r="B78" s="28" t="s">
        <v>149</v>
      </c>
      <c r="C78" s="74" t="s">
        <v>150</v>
      </c>
      <c r="D78" s="109"/>
      <c r="E78" s="109"/>
      <c r="F78" s="109"/>
      <c r="G78" s="109"/>
    </row>
    <row r="80" spans="1:7" ht="15" customHeight="1" x14ac:dyDescent="0.3">
      <c r="A80" s="4" t="s">
        <v>151</v>
      </c>
    </row>
    <row r="81" spans="2:7" ht="31.5" customHeight="1" x14ac:dyDescent="0.3">
      <c r="B81" s="100" t="s">
        <v>152</v>
      </c>
      <c r="C81" s="101"/>
      <c r="D81" s="73"/>
      <c r="E81" s="73"/>
      <c r="F81" s="73"/>
      <c r="G81" s="73"/>
    </row>
    <row r="82" spans="2:7" ht="15" customHeight="1" x14ac:dyDescent="0.3">
      <c r="B82" s="18" t="s">
        <v>153</v>
      </c>
      <c r="C82" s="29">
        <v>360</v>
      </c>
    </row>
    <row r="83" spans="2:7" ht="15" customHeight="1" x14ac:dyDescent="0.3">
      <c r="B83" s="18" t="s">
        <v>154</v>
      </c>
      <c r="C83" s="29">
        <v>12</v>
      </c>
    </row>
    <row r="84" spans="2:7" ht="15" customHeight="1" x14ac:dyDescent="0.3">
      <c r="B84" s="18" t="s">
        <v>155</v>
      </c>
      <c r="C84" s="29">
        <v>36</v>
      </c>
    </row>
    <row r="85" spans="2:7" ht="15" customHeight="1" x14ac:dyDescent="0.3">
      <c r="B85" s="18" t="s">
        <v>156</v>
      </c>
      <c r="C85" s="30">
        <v>0.15</v>
      </c>
    </row>
    <row r="86" spans="2:7" ht="46.5" customHeight="1" x14ac:dyDescent="0.3">
      <c r="B86" s="28" t="s">
        <v>157</v>
      </c>
      <c r="C86" s="31">
        <f>PV(C85/12,C84,-C83)</f>
        <v>346.16720849906619</v>
      </c>
      <c r="G86" s="23" t="str">
        <f>IF(C86="","Chưa điền",IF(ABS(C86-PV(C85/12,C84,-C83))&lt;1,"Đạt","Xem lại"))</f>
        <v>Đạt</v>
      </c>
    </row>
    <row r="87" spans="2:7" ht="15" customHeight="1" x14ac:dyDescent="0.3">
      <c r="B87" s="18" t="s">
        <v>158</v>
      </c>
      <c r="C87" s="32" t="s">
        <v>159</v>
      </c>
      <c r="G87" s="23" t="str">
        <f>IF(C87="","Chưa điền",IF(C87=IF(PV(C85/12,C84,-C83)&lt;C82,"Thuê","Mua"),"Đạt","Xem lại"))</f>
        <v>Đạt</v>
      </c>
    </row>
    <row r="88" spans="2:7" ht="31.5" customHeight="1" x14ac:dyDescent="0.3">
      <c r="B88" s="28" t="s">
        <v>160</v>
      </c>
      <c r="C88" s="31">
        <f>PV(0.08/12,C84,-C83)</f>
        <v>382.94166612173467</v>
      </c>
      <c r="G88" s="23" t="str">
        <f>IF(C88="","Chưa điền",IF(ABS(C88-PV(0.08/12,C84,-C83))&lt;1,"Đạt","Xem lại"))</f>
        <v>Đạt</v>
      </c>
    </row>
    <row r="89" spans="2:7" ht="15" customHeight="1" x14ac:dyDescent="0.3">
      <c r="B89" s="18" t="s">
        <v>161</v>
      </c>
      <c r="C89" s="32" t="s">
        <v>162</v>
      </c>
      <c r="G89" s="23" t="str">
        <f>IF(C89="","Chưa điền",IF(C89=IF(PV(0.08/12,C84,-C83)&lt;C82,"Thuê","Mua"),"Đạt","Xem lại"))</f>
        <v>Đạt</v>
      </c>
    </row>
  </sheetData>
  <sheetProtection sheet="1" formatColumns="0" formatRows="0"/>
  <mergeCells count="9">
    <mergeCell ref="B81:G81"/>
    <mergeCell ref="C77:G77"/>
    <mergeCell ref="A3:G3"/>
    <mergeCell ref="A34:G34"/>
    <mergeCell ref="A55:G55"/>
    <mergeCell ref="C76:G76"/>
    <mergeCell ref="C75:G75"/>
    <mergeCell ref="A19:G19"/>
    <mergeCell ref="C78:G78"/>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tabSelected="1" topLeftCell="A4" zoomScaleNormal="100" workbookViewId="0">
      <selection activeCell="D7" sqref="D7"/>
    </sheetView>
  </sheetViews>
  <sheetFormatPr defaultColWidth="8.6640625" defaultRowHeight="14.4" x14ac:dyDescent="0.3"/>
  <cols>
    <col min="1" max="1" width="48" customWidth="1"/>
    <col min="2" max="2" width="22" customWidth="1"/>
    <col min="3" max="3" width="18" customWidth="1"/>
    <col min="4" max="4" width="60" customWidth="1"/>
    <col min="5" max="5" width="64" customWidth="1"/>
    <col min="60" max="60" width="9.21875" customWidth="1"/>
  </cols>
  <sheetData>
    <row r="1" spans="1:5" ht="17.25" customHeight="1" x14ac:dyDescent="0.3">
      <c r="A1" s="1" t="s">
        <v>163</v>
      </c>
    </row>
    <row r="2" spans="1:5" ht="15" customHeight="1" x14ac:dyDescent="0.3">
      <c r="A2" s="8" t="s">
        <v>164</v>
      </c>
    </row>
    <row r="3" spans="1:5" ht="31.5" customHeight="1" x14ac:dyDescent="0.3">
      <c r="A3" s="76" t="s">
        <v>165</v>
      </c>
      <c r="B3" s="73"/>
      <c r="C3" s="73"/>
      <c r="D3" s="73"/>
      <c r="E3" s="73"/>
    </row>
    <row r="4" spans="1:5" ht="15" customHeight="1" x14ac:dyDescent="0.3">
      <c r="A4" s="12" t="s">
        <v>166</v>
      </c>
      <c r="B4" s="12" t="s">
        <v>167</v>
      </c>
      <c r="C4" s="12" t="s">
        <v>168</v>
      </c>
      <c r="D4" s="12" t="s">
        <v>169</v>
      </c>
      <c r="E4" s="12" t="s">
        <v>170</v>
      </c>
    </row>
    <row r="5" spans="1:5" ht="88.95" customHeight="1" x14ac:dyDescent="0.3">
      <c r="A5" s="33" t="s">
        <v>171</v>
      </c>
      <c r="B5" s="86" t="s">
        <v>172</v>
      </c>
      <c r="C5" s="33"/>
      <c r="D5" s="86" t="s">
        <v>173</v>
      </c>
      <c r="E5" s="93" t="s">
        <v>174</v>
      </c>
    </row>
    <row r="6" spans="1:5" ht="31.05" customHeight="1" x14ac:dyDescent="0.3">
      <c r="A6" s="33" t="s">
        <v>175</v>
      </c>
      <c r="B6" s="35">
        <v>2</v>
      </c>
      <c r="C6" s="33" t="s">
        <v>176</v>
      </c>
      <c r="D6" s="86" t="s">
        <v>177</v>
      </c>
      <c r="E6" s="93" t="s">
        <v>178</v>
      </c>
    </row>
    <row r="7" spans="1:5" ht="43.95" customHeight="1" x14ac:dyDescent="0.3">
      <c r="A7" s="33" t="s">
        <v>179</v>
      </c>
      <c r="B7" s="35">
        <v>2500</v>
      </c>
      <c r="C7" s="33" t="s">
        <v>180</v>
      </c>
      <c r="D7" s="86" t="s">
        <v>181</v>
      </c>
      <c r="E7" s="93" t="s">
        <v>182</v>
      </c>
    </row>
    <row r="8" spans="1:5" ht="16.95" customHeight="1" x14ac:dyDescent="0.3">
      <c r="A8" s="33" t="s">
        <v>183</v>
      </c>
      <c r="B8" s="35">
        <v>400</v>
      </c>
      <c r="C8" s="33" t="s">
        <v>180</v>
      </c>
      <c r="D8" s="86" t="s">
        <v>184</v>
      </c>
      <c r="E8" s="93" t="s">
        <v>185</v>
      </c>
    </row>
    <row r="9" spans="1:5" ht="43.95" customHeight="1" x14ac:dyDescent="0.3">
      <c r="A9" s="33" t="s">
        <v>186</v>
      </c>
      <c r="B9" s="35">
        <v>1</v>
      </c>
      <c r="C9" s="33" t="s">
        <v>187</v>
      </c>
      <c r="D9" s="86" t="s">
        <v>188</v>
      </c>
      <c r="E9" s="93" t="s">
        <v>189</v>
      </c>
    </row>
    <row r="10" spans="1:5" ht="31.95" customHeight="1" x14ac:dyDescent="0.3">
      <c r="A10" s="33" t="s">
        <v>190</v>
      </c>
      <c r="B10" s="35">
        <v>5</v>
      </c>
      <c r="C10" s="33" t="s">
        <v>187</v>
      </c>
      <c r="D10" s="86" t="s">
        <v>191</v>
      </c>
      <c r="E10" s="93" t="s">
        <v>192</v>
      </c>
    </row>
    <row r="11" spans="1:5" ht="31.95" customHeight="1" x14ac:dyDescent="0.3">
      <c r="A11" s="33" t="s">
        <v>193</v>
      </c>
      <c r="B11" s="35">
        <v>26170</v>
      </c>
      <c r="C11" s="33" t="s">
        <v>194</v>
      </c>
      <c r="D11" s="86" t="s">
        <v>195</v>
      </c>
      <c r="E11" s="93" t="s">
        <v>196</v>
      </c>
    </row>
    <row r="12" spans="1:5" ht="31.05" customHeight="1" x14ac:dyDescent="0.3">
      <c r="A12" s="33" t="s">
        <v>197</v>
      </c>
      <c r="B12" s="36">
        <v>0.08</v>
      </c>
      <c r="C12" s="33" t="s">
        <v>198</v>
      </c>
      <c r="D12" s="86" t="s">
        <v>199</v>
      </c>
      <c r="E12" s="93" t="s">
        <v>200</v>
      </c>
    </row>
    <row r="13" spans="1:5" ht="43.95" customHeight="1" x14ac:dyDescent="0.3">
      <c r="A13" s="33" t="s">
        <v>201</v>
      </c>
      <c r="B13" s="35">
        <v>120</v>
      </c>
      <c r="C13" s="33" t="s">
        <v>202</v>
      </c>
      <c r="D13" s="86" t="s">
        <v>203</v>
      </c>
      <c r="E13" s="93" t="s">
        <v>204</v>
      </c>
    </row>
    <row r="14" spans="1:5" ht="31.05" customHeight="1" x14ac:dyDescent="0.3">
      <c r="A14" s="33" t="s">
        <v>205</v>
      </c>
      <c r="B14" s="36">
        <v>0.2</v>
      </c>
      <c r="C14" s="33" t="s">
        <v>198</v>
      </c>
      <c r="D14" s="86" t="s">
        <v>206</v>
      </c>
      <c r="E14" s="93" t="s">
        <v>207</v>
      </c>
    </row>
    <row r="15" spans="1:5" ht="16.95" customHeight="1" x14ac:dyDescent="0.3">
      <c r="A15" s="33" t="s">
        <v>208</v>
      </c>
      <c r="B15" s="35">
        <v>1.5</v>
      </c>
      <c r="C15" s="33" t="s">
        <v>209</v>
      </c>
      <c r="D15" s="86" t="s">
        <v>210</v>
      </c>
      <c r="E15" s="93" t="s">
        <v>211</v>
      </c>
    </row>
    <row r="16" spans="1:5" ht="31.05" customHeight="1" x14ac:dyDescent="0.3">
      <c r="A16" s="33" t="s">
        <v>212</v>
      </c>
      <c r="B16" s="35">
        <v>50000</v>
      </c>
      <c r="C16" s="33" t="s">
        <v>213</v>
      </c>
      <c r="D16" s="86" t="s">
        <v>214</v>
      </c>
      <c r="E16" s="93" t="s">
        <v>215</v>
      </c>
    </row>
    <row r="17" spans="1:5" ht="31.05" customHeight="1" x14ac:dyDescent="0.3">
      <c r="A17" s="33" t="s">
        <v>216</v>
      </c>
      <c r="B17" s="35">
        <v>50</v>
      </c>
      <c r="C17" s="33" t="s">
        <v>202</v>
      </c>
      <c r="D17" s="86" t="s">
        <v>217</v>
      </c>
      <c r="E17" s="93" t="s">
        <v>218</v>
      </c>
    </row>
    <row r="18" spans="1:5" ht="16.95" customHeight="1" x14ac:dyDescent="0.3">
      <c r="A18" s="33" t="s">
        <v>219</v>
      </c>
      <c r="B18" s="35">
        <v>30</v>
      </c>
      <c r="C18" s="33" t="s">
        <v>202</v>
      </c>
      <c r="D18" s="86" t="s">
        <v>220</v>
      </c>
      <c r="E18" s="93" t="s">
        <v>221</v>
      </c>
    </row>
    <row r="20" spans="1:5" ht="15" customHeight="1" x14ac:dyDescent="0.3">
      <c r="A20" s="4" t="s">
        <v>222</v>
      </c>
    </row>
    <row r="21" spans="1:5" ht="15" customHeight="1" x14ac:dyDescent="0.3">
      <c r="A21" s="37" t="s">
        <v>223</v>
      </c>
      <c r="B21" s="38">
        <f>IFERROR(B6*(B7*B9+B8*B10)/1000000*B11*(1+B12),0)</f>
        <v>254.3724</v>
      </c>
    </row>
    <row r="22" spans="1:5" ht="15" customHeight="1" x14ac:dyDescent="0.3">
      <c r="A22" s="37" t="s">
        <v>224</v>
      </c>
      <c r="B22" s="38">
        <f>IFERROR(B14*B15/60*B16,0)</f>
        <v>250.00000000000006</v>
      </c>
    </row>
    <row r="23" spans="1:5" ht="15" customHeight="1" x14ac:dyDescent="0.3">
      <c r="A23" s="37" t="s">
        <v>225</v>
      </c>
      <c r="B23" s="38">
        <f>B13+B17+B18</f>
        <v>200</v>
      </c>
    </row>
    <row r="24" spans="1:5" ht="15.75" customHeight="1" x14ac:dyDescent="0.3">
      <c r="A24" s="37" t="s">
        <v>226</v>
      </c>
      <c r="B24" s="39">
        <f>B21+B22+B23</f>
        <v>704.37240000000008</v>
      </c>
      <c r="E24" s="11" t="s">
        <v>227</v>
      </c>
    </row>
    <row r="25" spans="1:5" ht="15" customHeight="1" x14ac:dyDescent="0.3">
      <c r="A25" s="37" t="s">
        <v>228</v>
      </c>
      <c r="B25" s="40">
        <f>IFERROR((B24-B21)/B21,0)</f>
        <v>1.7690598508328739</v>
      </c>
      <c r="C25" s="41" t="s">
        <v>229</v>
      </c>
    </row>
    <row r="26" spans="1:5" ht="15" customHeight="1" x14ac:dyDescent="0.3">
      <c r="A26" s="37" t="s">
        <v>230</v>
      </c>
      <c r="B26" s="38">
        <f>3*B24</f>
        <v>2113.1172000000001</v>
      </c>
      <c r="C26" s="41" t="s">
        <v>231</v>
      </c>
    </row>
    <row r="27" spans="1:5" ht="15" customHeight="1" x14ac:dyDescent="0.3">
      <c r="A27" s="37" t="s">
        <v>232</v>
      </c>
      <c r="B27" s="38">
        <f>B24/(1-0.6)</f>
        <v>1760.931</v>
      </c>
      <c r="C27" s="41" t="s">
        <v>233</v>
      </c>
    </row>
  </sheetData>
  <sheetProtection sheet="1" formatColumns="0" formatRows="0"/>
  <mergeCells count="1">
    <mergeCell ref="A3:E3"/>
  </mergeCells>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77"/>
  <sheetViews>
    <sheetView topLeftCell="A4" zoomScaleNormal="100" workbookViewId="0">
      <selection activeCell="B8" sqref="B8"/>
    </sheetView>
  </sheetViews>
  <sheetFormatPr defaultColWidth="8.6640625" defaultRowHeight="14.4" x14ac:dyDescent="0.3"/>
  <cols>
    <col min="1" max="1" width="44" customWidth="1"/>
    <col min="2" max="3" width="30" customWidth="1"/>
    <col min="4" max="4" width="22" customWidth="1"/>
    <col min="5" max="5" width="20" customWidth="1"/>
    <col min="6" max="6" width="50.77734375" customWidth="1"/>
    <col min="7" max="7" width="22" customWidth="1"/>
    <col min="8" max="8" width="20" customWidth="1"/>
    <col min="9" max="9" width="46" customWidth="1"/>
    <col min="60" max="60" width="9.21875" customWidth="1"/>
  </cols>
  <sheetData>
    <row r="1" spans="1:26" ht="17.25" customHeight="1" x14ac:dyDescent="0.3">
      <c r="A1" s="1" t="s">
        <v>234</v>
      </c>
    </row>
    <row r="2" spans="1:26" ht="15" customHeight="1" x14ac:dyDescent="0.3">
      <c r="A2" s="8" t="s">
        <v>235</v>
      </c>
    </row>
    <row r="4" spans="1:26" ht="15" customHeight="1" x14ac:dyDescent="0.3">
      <c r="A4" s="12" t="s">
        <v>236</v>
      </c>
      <c r="B4" s="12" t="s">
        <v>167</v>
      </c>
      <c r="C4" s="12" t="s">
        <v>61</v>
      </c>
      <c r="D4" s="12" t="s">
        <v>169</v>
      </c>
    </row>
    <row r="5" spans="1:26" ht="31.95" customHeight="1" x14ac:dyDescent="0.3">
      <c r="A5" s="50" t="s">
        <v>237</v>
      </c>
      <c r="B5" s="86" t="s">
        <v>238</v>
      </c>
      <c r="C5" s="50" t="s">
        <v>239</v>
      </c>
      <c r="D5" s="95" t="s">
        <v>240</v>
      </c>
      <c r="E5" s="87"/>
      <c r="F5" s="87"/>
      <c r="G5" s="87"/>
      <c r="H5" s="87"/>
      <c r="I5" s="87"/>
      <c r="J5" s="87"/>
      <c r="K5" s="87"/>
      <c r="L5" s="87"/>
      <c r="M5" s="87"/>
      <c r="N5" s="87"/>
      <c r="O5" s="87"/>
      <c r="P5" s="87"/>
      <c r="Q5" s="87"/>
      <c r="R5" s="87"/>
      <c r="S5" s="87"/>
      <c r="T5" s="87"/>
      <c r="U5" s="87"/>
      <c r="V5" s="87"/>
      <c r="W5" s="87"/>
      <c r="X5" s="87"/>
      <c r="Y5" s="87"/>
      <c r="Z5" s="87"/>
    </row>
    <row r="6" spans="1:26" ht="61.05" customHeight="1" x14ac:dyDescent="0.3">
      <c r="A6" s="50" t="s">
        <v>241</v>
      </c>
      <c r="B6" s="86" t="s">
        <v>242</v>
      </c>
      <c r="C6" s="50" t="s">
        <v>243</v>
      </c>
      <c r="D6" s="17" t="s">
        <v>244</v>
      </c>
      <c r="E6" s="87"/>
      <c r="F6" s="87"/>
      <c r="G6" s="87"/>
      <c r="H6" s="87"/>
      <c r="I6" s="87"/>
      <c r="J6" s="87"/>
      <c r="K6" s="87"/>
      <c r="L6" s="87"/>
      <c r="M6" s="87"/>
      <c r="N6" s="87"/>
      <c r="O6" s="87"/>
      <c r="P6" s="87"/>
      <c r="Q6" s="87"/>
      <c r="R6" s="87"/>
      <c r="S6" s="87"/>
      <c r="T6" s="87"/>
      <c r="U6" s="87"/>
      <c r="V6" s="87"/>
      <c r="W6" s="87"/>
      <c r="X6" s="87"/>
      <c r="Y6" s="87"/>
      <c r="Z6" s="87"/>
    </row>
    <row r="7" spans="1:26" ht="103.95" customHeight="1" x14ac:dyDescent="0.3">
      <c r="A7" s="50" t="s">
        <v>245</v>
      </c>
      <c r="B7" s="86" t="s">
        <v>246</v>
      </c>
      <c r="C7" s="33"/>
      <c r="D7" s="17" t="s">
        <v>247</v>
      </c>
      <c r="E7" s="87"/>
      <c r="F7" s="87"/>
      <c r="G7" s="87"/>
      <c r="H7" s="87"/>
      <c r="I7" s="87"/>
      <c r="J7" s="87"/>
      <c r="K7" s="87"/>
      <c r="L7" s="87"/>
      <c r="M7" s="87"/>
      <c r="N7" s="87"/>
      <c r="O7" s="87"/>
      <c r="P7" s="87"/>
      <c r="Q7" s="87"/>
      <c r="R7" s="87"/>
      <c r="S7" s="87"/>
      <c r="T7" s="87"/>
      <c r="U7" s="87"/>
      <c r="V7" s="87"/>
      <c r="W7" s="87"/>
      <c r="X7" s="87"/>
      <c r="Y7" s="87"/>
      <c r="Z7" s="87"/>
    </row>
    <row r="8" spans="1:26" ht="46.05" customHeight="1" x14ac:dyDescent="0.3">
      <c r="A8" s="50" t="s">
        <v>248</v>
      </c>
      <c r="B8" s="86" t="s">
        <v>249</v>
      </c>
      <c r="C8" s="50" t="s">
        <v>250</v>
      </c>
      <c r="D8" s="17" t="s">
        <v>251</v>
      </c>
      <c r="E8" s="87"/>
      <c r="F8" s="87"/>
      <c r="G8" s="87"/>
      <c r="H8" s="87"/>
      <c r="I8" s="87"/>
      <c r="J8" s="87"/>
      <c r="K8" s="87"/>
      <c r="L8" s="87"/>
      <c r="M8" s="87"/>
      <c r="N8" s="87"/>
      <c r="O8" s="87"/>
      <c r="P8" s="87"/>
      <c r="Q8" s="87"/>
      <c r="R8" s="87"/>
      <c r="S8" s="87"/>
      <c r="T8" s="87"/>
      <c r="U8" s="87"/>
      <c r="V8" s="87"/>
      <c r="W8" s="87"/>
      <c r="X8" s="87"/>
      <c r="Y8" s="87"/>
      <c r="Z8" s="87"/>
    </row>
    <row r="9" spans="1:26" ht="46.05" customHeight="1" x14ac:dyDescent="0.3">
      <c r="A9" s="33" t="s">
        <v>252</v>
      </c>
      <c r="B9" s="53">
        <v>1990000</v>
      </c>
      <c r="C9" s="33" t="s">
        <v>202</v>
      </c>
      <c r="D9" s="17" t="s">
        <v>253</v>
      </c>
      <c r="E9" s="87"/>
      <c r="F9" s="87"/>
      <c r="G9" s="87"/>
      <c r="H9" s="87"/>
      <c r="I9" s="87"/>
      <c r="J9" s="87"/>
      <c r="K9" s="87"/>
      <c r="L9" s="87"/>
      <c r="M9" s="87"/>
      <c r="N9" s="87"/>
      <c r="O9" s="87"/>
      <c r="P9" s="87"/>
      <c r="Q9" s="87"/>
      <c r="R9" s="87"/>
      <c r="S9" s="87"/>
      <c r="T9" s="87"/>
      <c r="U9" s="87"/>
      <c r="V9" s="87"/>
      <c r="W9" s="87"/>
      <c r="X9" s="87"/>
      <c r="Y9" s="87"/>
      <c r="Z9" s="87"/>
    </row>
    <row r="10" spans="1:26" ht="46.05" customHeight="1" x14ac:dyDescent="0.3">
      <c r="A10" s="33" t="s">
        <v>254</v>
      </c>
      <c r="B10" s="53">
        <v>1000</v>
      </c>
      <c r="C10" s="33" t="s">
        <v>255</v>
      </c>
      <c r="D10" s="17" t="s">
        <v>256</v>
      </c>
      <c r="E10" s="87"/>
      <c r="F10" s="87"/>
      <c r="G10" s="87"/>
      <c r="H10" s="87"/>
      <c r="I10" s="87"/>
      <c r="J10" s="87"/>
      <c r="K10" s="87"/>
      <c r="L10" s="87"/>
      <c r="M10" s="87"/>
      <c r="N10" s="87"/>
      <c r="O10" s="87"/>
      <c r="P10" s="87"/>
      <c r="Q10" s="87"/>
      <c r="R10" s="87"/>
      <c r="S10" s="87"/>
      <c r="T10" s="87"/>
      <c r="U10" s="87"/>
      <c r="V10" s="87"/>
      <c r="W10" s="87"/>
      <c r="X10" s="87"/>
      <c r="Y10" s="87"/>
      <c r="Z10" s="87"/>
    </row>
    <row r="11" spans="1:26" ht="61.05" customHeight="1" x14ac:dyDescent="0.3">
      <c r="A11" s="33" t="s">
        <v>257</v>
      </c>
      <c r="B11" s="53">
        <v>2200</v>
      </c>
      <c r="C11" s="33" t="s">
        <v>258</v>
      </c>
      <c r="D11" s="17" t="s">
        <v>259</v>
      </c>
      <c r="E11" s="87"/>
      <c r="F11" s="87"/>
      <c r="G11" s="87"/>
      <c r="H11" s="87"/>
      <c r="I11" s="87"/>
      <c r="J11" s="87"/>
      <c r="K11" s="87"/>
      <c r="L11" s="87"/>
      <c r="M11" s="87"/>
      <c r="N11" s="87"/>
      <c r="O11" s="87"/>
      <c r="P11" s="87"/>
      <c r="Q11" s="87"/>
      <c r="R11" s="87"/>
      <c r="S11" s="87"/>
      <c r="T11" s="87"/>
      <c r="U11" s="87"/>
      <c r="V11" s="87"/>
      <c r="W11" s="87"/>
      <c r="X11" s="87"/>
      <c r="Y11" s="87"/>
      <c r="Z11" s="87"/>
    </row>
    <row r="12" spans="1:26" ht="61.05" customHeight="1" x14ac:dyDescent="0.3">
      <c r="A12" s="50" t="s">
        <v>260</v>
      </c>
      <c r="B12" s="53">
        <v>1990000</v>
      </c>
      <c r="C12" s="33" t="s">
        <v>261</v>
      </c>
      <c r="D12" s="17" t="s">
        <v>262</v>
      </c>
      <c r="E12" s="87"/>
      <c r="F12" s="87"/>
      <c r="G12" s="87"/>
      <c r="H12" s="87"/>
      <c r="I12" s="87"/>
      <c r="J12" s="87"/>
      <c r="K12" s="87"/>
      <c r="L12" s="87"/>
      <c r="M12" s="87"/>
      <c r="N12" s="87"/>
      <c r="O12" s="87"/>
      <c r="P12" s="87"/>
      <c r="Q12" s="87"/>
      <c r="R12" s="87"/>
      <c r="S12" s="87"/>
      <c r="T12" s="87"/>
      <c r="U12" s="87"/>
      <c r="V12" s="87"/>
      <c r="W12" s="87"/>
      <c r="X12" s="87"/>
      <c r="Y12" s="87"/>
      <c r="Z12" s="87"/>
    </row>
    <row r="13" spans="1:26" x14ac:dyDescent="0.3">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46.5" customHeight="1" x14ac:dyDescent="0.3">
      <c r="A14" s="88" t="s">
        <v>263</v>
      </c>
      <c r="B14" s="94" t="s">
        <v>264</v>
      </c>
      <c r="C14" s="94" t="s">
        <v>265</v>
      </c>
      <c r="D14" s="88" t="s">
        <v>266</v>
      </c>
      <c r="E14" s="94" t="s">
        <v>267</v>
      </c>
      <c r="F14" s="88" t="s">
        <v>268</v>
      </c>
      <c r="G14" s="88" t="s">
        <v>269</v>
      </c>
      <c r="H14" s="88" t="s">
        <v>270</v>
      </c>
      <c r="I14" s="88" t="s">
        <v>169</v>
      </c>
      <c r="J14" s="87"/>
      <c r="K14" s="87"/>
      <c r="L14" s="87"/>
      <c r="M14" s="87"/>
      <c r="N14" s="87"/>
      <c r="O14" s="87"/>
      <c r="P14" s="87"/>
      <c r="Q14" s="87"/>
      <c r="R14" s="87"/>
      <c r="S14" s="87"/>
      <c r="T14" s="87"/>
      <c r="U14" s="87"/>
      <c r="V14" s="87"/>
      <c r="W14" s="87"/>
      <c r="X14" s="87"/>
      <c r="Y14" s="87"/>
      <c r="Z14" s="87"/>
    </row>
    <row r="15" spans="1:26" ht="31.95" customHeight="1" x14ac:dyDescent="0.3">
      <c r="A15" s="33" t="s">
        <v>271</v>
      </c>
      <c r="B15" s="36">
        <v>0.7</v>
      </c>
      <c r="C15" s="52">
        <v>800</v>
      </c>
      <c r="D15" s="82">
        <f>B9+MAX(0,C15-B10)*B11</f>
        <v>1990000</v>
      </c>
      <c r="E15" s="82">
        <f>C15*'1_Chi phí mỗi việc'!B24</f>
        <v>563497.92000000004</v>
      </c>
      <c r="F15" s="83">
        <f>IFERROR((D15-E15)/D15,0)</f>
        <v>0.71683521608040202</v>
      </c>
      <c r="G15" s="82">
        <f>B12</f>
        <v>1990000</v>
      </c>
      <c r="H15" s="83">
        <f>IFERROR((G15-E15)/G15,0)</f>
        <v>0.71683521608040202</v>
      </c>
      <c r="I15" s="17" t="s">
        <v>272</v>
      </c>
      <c r="J15" s="87"/>
      <c r="K15" s="87"/>
      <c r="L15" s="87"/>
      <c r="M15" s="87"/>
      <c r="N15" s="87"/>
      <c r="O15" s="87"/>
      <c r="P15" s="87"/>
      <c r="Q15" s="87"/>
      <c r="R15" s="87"/>
      <c r="S15" s="87"/>
      <c r="T15" s="87"/>
      <c r="U15" s="87"/>
      <c r="V15" s="87"/>
      <c r="W15" s="87"/>
      <c r="X15" s="87"/>
      <c r="Y15" s="87"/>
      <c r="Z15" s="87"/>
    </row>
    <row r="16" spans="1:26" ht="31.95" customHeight="1" x14ac:dyDescent="0.3">
      <c r="A16" s="33" t="s">
        <v>273</v>
      </c>
      <c r="B16" s="36">
        <v>0.3</v>
      </c>
      <c r="C16" s="52">
        <v>4000</v>
      </c>
      <c r="D16" s="82">
        <f>B9+MAX(0,C16-B10)*B11</f>
        <v>8590000</v>
      </c>
      <c r="E16" s="82">
        <f>C16*'1_Chi phí mỗi việc'!B24</f>
        <v>2817489.6000000006</v>
      </c>
      <c r="F16" s="83">
        <f>IFERROR((D16-E16)/D16,0)</f>
        <v>0.6720035389988358</v>
      </c>
      <c r="G16" s="82">
        <f>B12</f>
        <v>1990000</v>
      </c>
      <c r="H16" s="83">
        <f>IFERROR((G16-E16)/G16,0)</f>
        <v>-0.41582391959799025</v>
      </c>
      <c r="I16" s="17" t="s">
        <v>274</v>
      </c>
    </row>
    <row r="17" spans="1:26" ht="15" customHeight="1" x14ac:dyDescent="0.3">
      <c r="A17" s="89" t="s">
        <v>275</v>
      </c>
      <c r="B17" s="107">
        <f>B15+B16</f>
        <v>1</v>
      </c>
      <c r="C17" s="43">
        <f>SUMPRODUCT(B15:B16,C15:C16)</f>
        <v>1760</v>
      </c>
      <c r="D17" s="39">
        <f>SUMPRODUCT($B15:$B16,D15:D16)</f>
        <v>3970000</v>
      </c>
      <c r="E17" s="39">
        <f>SUMPRODUCT($B15:$B16,E15:E16)</f>
        <v>1239695.4240000001</v>
      </c>
      <c r="F17" s="44">
        <f>IFERROR((D17-E17)/D17,0)</f>
        <v>0.68773415012594452</v>
      </c>
      <c r="G17" s="39">
        <f>SUMPRODUCT($B15:$B16,G15:G16)</f>
        <v>1990000</v>
      </c>
      <c r="H17" s="44">
        <f>IFERROR((G17-E17)/G17,0)</f>
        <v>0.37703747537688437</v>
      </c>
      <c r="I17" s="37"/>
      <c r="J17" s="87"/>
      <c r="K17" s="87"/>
      <c r="L17" s="87"/>
      <c r="M17" s="87"/>
      <c r="N17" s="87"/>
      <c r="O17" s="87"/>
      <c r="P17" s="87"/>
      <c r="Q17" s="87"/>
      <c r="R17" s="87"/>
      <c r="S17" s="87"/>
      <c r="T17" s="87"/>
      <c r="U17" s="87"/>
      <c r="V17" s="87"/>
      <c r="W17" s="87"/>
      <c r="X17" s="87"/>
      <c r="Y17" s="87"/>
      <c r="Z17" s="87"/>
    </row>
    <row r="18" spans="1:26" ht="15" customHeight="1" x14ac:dyDescent="0.3">
      <c r="A18" s="37" t="s">
        <v>276</v>
      </c>
      <c r="B18" s="45" t="str">
        <f>IF(B17=0,"Chưa điền",IF(ABS(B17-1)&lt;0.001,"Đạt","Sai: tổng khác 100%"))</f>
        <v>Đạt</v>
      </c>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5" customHeight="1" x14ac:dyDescent="0.3">
      <c r="A19" s="37" t="s">
        <v>277</v>
      </c>
      <c r="B19" s="45" t="str">
        <f>IF(B11=0,"Chưa điền",IF(B11&gt;='1_Chi phí mỗi việc'!B26,"Đạt","Thấp hơn giá sàn"))</f>
        <v>Đạt</v>
      </c>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x14ac:dyDescent="0.3">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5" customHeight="1" x14ac:dyDescent="0.3">
      <c r="A21" s="37" t="s">
        <v>278</v>
      </c>
      <c r="B21" s="44">
        <f>IFERROR(B16*D16/D17,0)</f>
        <v>0.64911838790931986</v>
      </c>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5" customHeight="1" x14ac:dyDescent="0.3">
      <c r="A22" s="37" t="s">
        <v>279</v>
      </c>
      <c r="B22" s="44">
        <f>IFERROR(B16*MAX(0,C16-B10)*B11/D17,0)</f>
        <v>0.4987405541561713</v>
      </c>
      <c r="C22" s="87"/>
      <c r="D22" s="87"/>
      <c r="E22" s="87"/>
      <c r="F22" s="87"/>
      <c r="G22" s="87"/>
      <c r="H22" s="87"/>
      <c r="I22" s="87"/>
      <c r="J22" s="87"/>
      <c r="K22" s="87"/>
      <c r="L22" s="87"/>
      <c r="M22" s="87"/>
      <c r="N22" s="87"/>
      <c r="O22" s="87"/>
      <c r="P22" s="87"/>
      <c r="Q22" s="87"/>
      <c r="R22" s="87"/>
      <c r="S22" s="87"/>
      <c r="T22" s="87"/>
      <c r="U22" s="87"/>
      <c r="V22" s="87"/>
      <c r="W22" s="87"/>
      <c r="X22" s="87"/>
      <c r="Y22" s="87"/>
      <c r="Z22" s="87"/>
    </row>
    <row r="23" spans="1:26" ht="15" customHeight="1" x14ac:dyDescent="0.3">
      <c r="A23" s="37" t="s">
        <v>280</v>
      </c>
      <c r="B23" s="45" t="str">
        <f>IF(D17=0,"Chưa điền",IF(B21&gt;0.5,"Trên 50% doanh thu đến từ khách dùng nhiều: xem tình huống đặc biệt ở trang 5","Đạt"))</f>
        <v>Trên 50% doanh thu đến từ khách dùng nhiều: xem tình huống đặc biệt ở trang 5</v>
      </c>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x14ac:dyDescent="0.3">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5" customHeight="1" x14ac:dyDescent="0.3">
      <c r="A25" s="105" t="s">
        <v>281</v>
      </c>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46.05" customHeight="1" x14ac:dyDescent="0.3">
      <c r="A26" s="14" t="s">
        <v>282</v>
      </c>
      <c r="B26" s="84">
        <v>8000000</v>
      </c>
      <c r="C26" s="14" t="s">
        <v>261</v>
      </c>
      <c r="D26" s="17" t="s">
        <v>283</v>
      </c>
      <c r="E26" s="87"/>
      <c r="F26" s="87"/>
      <c r="G26" s="87"/>
      <c r="H26" s="87"/>
      <c r="I26" s="87"/>
      <c r="J26" s="87"/>
      <c r="K26" s="87"/>
      <c r="L26" s="87"/>
      <c r="M26" s="87"/>
      <c r="N26" s="87"/>
      <c r="O26" s="87"/>
      <c r="P26" s="87"/>
      <c r="Q26" s="87"/>
      <c r="R26" s="87"/>
      <c r="S26" s="87"/>
      <c r="T26" s="87"/>
      <c r="U26" s="87"/>
      <c r="V26" s="87"/>
      <c r="W26" s="87"/>
      <c r="X26" s="87"/>
      <c r="Y26" s="87"/>
      <c r="Z26" s="87"/>
    </row>
    <row r="27" spans="1:26" ht="46.05" customHeight="1" x14ac:dyDescent="0.3">
      <c r="A27" s="14" t="s">
        <v>284</v>
      </c>
      <c r="B27" s="85">
        <v>0</v>
      </c>
      <c r="C27" s="14" t="s">
        <v>285</v>
      </c>
      <c r="D27" s="17" t="s">
        <v>286</v>
      </c>
      <c r="E27" s="87"/>
      <c r="F27" s="87"/>
      <c r="G27" s="87"/>
      <c r="H27" s="87"/>
      <c r="I27" s="87"/>
      <c r="J27" s="87"/>
      <c r="K27" s="87"/>
      <c r="L27" s="87"/>
      <c r="M27" s="87"/>
      <c r="N27" s="87"/>
      <c r="O27" s="87"/>
      <c r="P27" s="87"/>
      <c r="Q27" s="87"/>
      <c r="R27" s="87"/>
      <c r="S27" s="87"/>
      <c r="T27" s="87"/>
      <c r="U27" s="87"/>
      <c r="V27" s="87"/>
      <c r="W27" s="87"/>
      <c r="X27" s="87"/>
      <c r="Y27" s="87"/>
      <c r="Z27" s="87"/>
    </row>
    <row r="28" spans="1:26" ht="45" customHeight="1" x14ac:dyDescent="0.3">
      <c r="A28" s="12" t="s">
        <v>263</v>
      </c>
      <c r="B28" s="12" t="s">
        <v>287</v>
      </c>
      <c r="C28" s="12" t="s">
        <v>288</v>
      </c>
      <c r="D28" s="12" t="s">
        <v>289</v>
      </c>
      <c r="E28" s="12" t="s">
        <v>290</v>
      </c>
      <c r="F28" s="12" t="s">
        <v>291</v>
      </c>
    </row>
    <row r="29" spans="1:26" ht="30" customHeight="1" x14ac:dyDescent="0.3">
      <c r="A29" s="18" t="s">
        <v>271</v>
      </c>
      <c r="B29" s="20">
        <f>D15</f>
        <v>1990000</v>
      </c>
      <c r="C29" s="24">
        <f>IFERROR(B29/$B$26,"")</f>
        <v>0.24875</v>
      </c>
      <c r="D29" s="47" t="str">
        <f>IF(C29="","",IF(C29&lt;0.5,"Dưới 50%: còn dư địa",IF(C29&lt;=0.7,"Trong vùng 50–70%","Trên 70%: khách thà thuê người? Xem dòng 34")))</f>
        <v>Dưới 50%: còn dư địa</v>
      </c>
      <c r="E29" s="48">
        <f>IFERROR(E15/B29,"")</f>
        <v>0.28316478391959798</v>
      </c>
      <c r="F29" s="23" t="str">
        <f>IF(E29="","",IF(E29&lt;0.3,"Ổn (dưới 0,3)",IF(E29&lt;=0.6,"Đáng lo (0,3–0,6)","Nguy (trên 0,6)")))</f>
        <v>Ổn (dưới 0,3)</v>
      </c>
      <c r="G29" s="87"/>
      <c r="H29" s="87"/>
      <c r="I29" s="87"/>
      <c r="J29" s="87"/>
      <c r="K29" s="87"/>
      <c r="L29" s="87"/>
      <c r="M29" s="87"/>
      <c r="N29" s="87"/>
      <c r="O29" s="87"/>
      <c r="P29" s="87"/>
      <c r="Q29" s="87"/>
      <c r="R29" s="87"/>
      <c r="S29" s="87"/>
      <c r="T29" s="87"/>
      <c r="U29" s="87"/>
      <c r="V29" s="87"/>
      <c r="W29" s="87"/>
      <c r="X29" s="87"/>
      <c r="Y29" s="87"/>
      <c r="Z29" s="87"/>
    </row>
    <row r="30" spans="1:26" ht="30" customHeight="1" x14ac:dyDescent="0.3">
      <c r="A30" s="18" t="s">
        <v>292</v>
      </c>
      <c r="B30" s="20">
        <f>D16</f>
        <v>8590000</v>
      </c>
      <c r="C30" s="24">
        <f>IFERROR(B30/$B$26,"")</f>
        <v>1.07375</v>
      </c>
      <c r="D30" s="47" t="str">
        <f>IF(C30="","",IF(C30&lt;0.5,"Dưới 50%: còn dư địa",IF(C30&lt;=0.7,"Trong vùng 50–70%","Trên 70%: khách thà thuê người? Xem dòng 34")))</f>
        <v>Trên 70%: khách thà thuê người? Xem dòng 34</v>
      </c>
      <c r="E30" s="48">
        <f>IFERROR(E16/B30,"")</f>
        <v>0.3279964610011642</v>
      </c>
      <c r="F30" s="23" t="str">
        <f>IF(E30="","",IF(E30&lt;0.3,"Ổn (dưới 0,3)",IF(E30&lt;=0.6,"Đáng lo (0,3–0,6)","Nguy (trên 0,6)")))</f>
        <v>Đáng lo (0,3–0,6)</v>
      </c>
      <c r="G30" s="87"/>
      <c r="H30" s="87"/>
      <c r="I30" s="87"/>
      <c r="J30" s="87"/>
      <c r="K30" s="87"/>
      <c r="L30" s="87"/>
      <c r="M30" s="87"/>
      <c r="N30" s="87"/>
      <c r="O30" s="87"/>
      <c r="P30" s="87"/>
      <c r="Q30" s="87"/>
      <c r="R30" s="87"/>
      <c r="S30" s="87"/>
      <c r="T30" s="87"/>
      <c r="U30" s="87"/>
      <c r="V30" s="87"/>
      <c r="W30" s="87"/>
      <c r="X30" s="87"/>
      <c r="Y30" s="87"/>
      <c r="Z30" s="87"/>
    </row>
    <row r="31" spans="1:26" ht="30" customHeight="1" x14ac:dyDescent="0.3">
      <c r="A31" s="106" t="s">
        <v>293</v>
      </c>
      <c r="B31" s="110">
        <f>G16</f>
        <v>1990000</v>
      </c>
      <c r="C31" s="108">
        <f>IFERROR(B31/$B$26,"")</f>
        <v>0.24875</v>
      </c>
      <c r="D31" s="47" t="str">
        <f>IF(C31="","",IF(C31&lt;0.5,"Dưới 50%: còn dư địa",IF(C31&lt;=0.7,"Trong vùng 50–70%","Trên 70%: khách thà thuê người? Xem dòng 34")))</f>
        <v>Dưới 50%: còn dư địa</v>
      </c>
      <c r="E31" s="48">
        <f>IFERROR(E16/B31,"")</f>
        <v>1.4158239195979903</v>
      </c>
      <c r="F31" s="23" t="str">
        <f>IF(E31="","",IF(E31&lt;0.3,"Ổn (dưới 0,3)",IF(E31&lt;=0.6,"Đáng lo (0,3–0,6)","Nguy (trên 0,6)")))</f>
        <v>Nguy (trên 0,6)</v>
      </c>
      <c r="G31" s="87"/>
      <c r="H31" s="87"/>
      <c r="I31" s="87"/>
      <c r="J31" s="87"/>
      <c r="K31" s="87"/>
      <c r="L31" s="87"/>
      <c r="M31" s="87"/>
      <c r="N31" s="87"/>
      <c r="O31" s="87"/>
      <c r="P31" s="87"/>
      <c r="Q31" s="87"/>
      <c r="R31" s="87"/>
      <c r="S31" s="87"/>
      <c r="T31" s="87"/>
      <c r="U31" s="87"/>
      <c r="V31" s="87"/>
      <c r="W31" s="87"/>
      <c r="X31" s="87"/>
      <c r="Y31" s="87"/>
      <c r="Z31" s="87"/>
    </row>
    <row r="32" spans="1:26" ht="15" customHeight="1" x14ac:dyDescent="0.3">
      <c r="A32" s="21" t="s">
        <v>294</v>
      </c>
      <c r="B32" s="49">
        <f>IFERROR((D17*(1-B27)-E17)/D17,"")</f>
        <v>0.68773415012594452</v>
      </c>
      <c r="C32" s="23" t="str">
        <f>IF(B32="","",IF(B32&gt;0.5,"Ổn",IF(B32&gt;=0.35,"Đáng lo","Nguy")))</f>
        <v>Ổn</v>
      </c>
      <c r="D32" s="96" t="s">
        <v>295</v>
      </c>
      <c r="E32" s="87"/>
      <c r="F32" s="87"/>
      <c r="G32" s="87"/>
      <c r="H32" s="87"/>
      <c r="I32" s="87"/>
      <c r="J32" s="87"/>
      <c r="K32" s="87"/>
      <c r="L32" s="87"/>
      <c r="M32" s="87"/>
      <c r="N32" s="87"/>
      <c r="O32" s="87"/>
      <c r="P32" s="87"/>
      <c r="Q32" s="87"/>
      <c r="R32" s="87"/>
      <c r="S32" s="87"/>
      <c r="T32" s="87"/>
      <c r="U32" s="87"/>
      <c r="V32" s="87"/>
      <c r="W32" s="87"/>
      <c r="X32" s="87"/>
      <c r="Y32" s="87"/>
      <c r="Z32" s="87"/>
    </row>
    <row r="33" spans="1:26" ht="30" customHeight="1" x14ac:dyDescent="0.3">
      <c r="A33" s="98" t="s">
        <v>296</v>
      </c>
      <c r="B33" s="97"/>
      <c r="C33" s="97"/>
      <c r="D33" s="97"/>
      <c r="E33" s="97"/>
      <c r="F33" s="97"/>
      <c r="G33" s="97"/>
      <c r="H33" s="97"/>
      <c r="I33" s="97"/>
      <c r="J33" s="87"/>
      <c r="K33" s="87"/>
      <c r="L33" s="87"/>
      <c r="M33" s="87"/>
      <c r="N33" s="87"/>
      <c r="O33" s="87"/>
      <c r="P33" s="87"/>
      <c r="Q33" s="87"/>
      <c r="R33" s="87"/>
      <c r="S33" s="87"/>
      <c r="T33" s="87"/>
      <c r="U33" s="87"/>
      <c r="V33" s="87"/>
      <c r="W33" s="87"/>
      <c r="X33" s="87"/>
      <c r="Y33" s="87"/>
      <c r="Z33" s="87"/>
    </row>
    <row r="34" spans="1:26" ht="30" customHeight="1" x14ac:dyDescent="0.3">
      <c r="A34" s="98" t="s">
        <v>297</v>
      </c>
      <c r="B34" s="97"/>
      <c r="C34" s="97"/>
      <c r="D34" s="97"/>
      <c r="E34" s="97"/>
      <c r="F34" s="97"/>
      <c r="G34" s="97"/>
      <c r="H34" s="97"/>
      <c r="I34" s="97"/>
      <c r="J34" s="87"/>
      <c r="K34" s="87"/>
      <c r="L34" s="87"/>
      <c r="M34" s="87"/>
      <c r="N34" s="87"/>
      <c r="O34" s="87"/>
      <c r="P34" s="87"/>
      <c r="Q34" s="87"/>
      <c r="R34" s="87"/>
      <c r="S34" s="87"/>
      <c r="T34" s="87"/>
      <c r="U34" s="87"/>
      <c r="V34" s="87"/>
      <c r="W34" s="87"/>
      <c r="X34" s="87"/>
      <c r="Y34" s="87"/>
      <c r="Z34" s="87"/>
    </row>
    <row r="35" spans="1:26" ht="15" customHeight="1" x14ac:dyDescent="0.3">
      <c r="A35" s="105" t="s">
        <v>298</v>
      </c>
      <c r="B35" s="87"/>
      <c r="C35" s="87"/>
      <c r="D35" s="87"/>
      <c r="E35" s="87"/>
      <c r="F35" s="87"/>
      <c r="G35" s="87"/>
      <c r="H35" s="87"/>
      <c r="I35" s="87"/>
      <c r="J35" s="87"/>
      <c r="K35" s="87"/>
      <c r="L35" s="87"/>
      <c r="M35" s="87"/>
      <c r="N35" s="87"/>
      <c r="O35" s="87"/>
      <c r="P35" s="87"/>
      <c r="Q35" s="87"/>
      <c r="R35" s="87"/>
      <c r="S35" s="87"/>
      <c r="T35" s="87"/>
      <c r="U35" s="87"/>
      <c r="V35" s="87"/>
      <c r="W35" s="87"/>
      <c r="X35" s="87"/>
      <c r="Y35" s="87"/>
      <c r="Z35" s="87"/>
    </row>
    <row r="36" spans="1:26" ht="15" customHeight="1" x14ac:dyDescent="0.3">
      <c r="A36" s="18" t="s">
        <v>299</v>
      </c>
      <c r="B36" s="100" t="s">
        <v>300</v>
      </c>
      <c r="C36" s="101"/>
      <c r="D36" s="101"/>
      <c r="E36" s="101"/>
      <c r="F36" s="101"/>
      <c r="G36" s="101"/>
      <c r="H36" s="101"/>
      <c r="I36" s="101"/>
      <c r="J36" s="87"/>
      <c r="K36" s="87"/>
      <c r="L36" s="87"/>
      <c r="M36" s="87"/>
      <c r="N36" s="87"/>
      <c r="O36" s="87"/>
      <c r="P36" s="87"/>
      <c r="Q36" s="87"/>
      <c r="R36" s="87"/>
      <c r="S36" s="87"/>
      <c r="T36" s="87"/>
      <c r="U36" s="87"/>
      <c r="V36" s="87"/>
      <c r="W36" s="87"/>
      <c r="X36" s="87"/>
      <c r="Y36" s="87"/>
      <c r="Z36" s="87"/>
    </row>
    <row r="37" spans="1:26" ht="30" customHeight="1" x14ac:dyDescent="0.3">
      <c r="A37" s="18" t="s">
        <v>301</v>
      </c>
      <c r="B37" s="100" t="s">
        <v>302</v>
      </c>
      <c r="C37" s="101"/>
      <c r="D37" s="101"/>
      <c r="E37" s="101"/>
      <c r="F37" s="101"/>
      <c r="G37" s="101"/>
      <c r="H37" s="101"/>
      <c r="I37" s="101"/>
      <c r="J37" s="87"/>
      <c r="K37" s="87"/>
      <c r="L37" s="87"/>
      <c r="M37" s="87"/>
      <c r="N37" s="87"/>
      <c r="O37" s="87"/>
      <c r="P37" s="87"/>
      <c r="Q37" s="87"/>
      <c r="R37" s="87"/>
      <c r="S37" s="87"/>
      <c r="T37" s="87"/>
      <c r="U37" s="87"/>
      <c r="V37" s="87"/>
      <c r="W37" s="87"/>
      <c r="X37" s="87"/>
      <c r="Y37" s="87"/>
      <c r="Z37" s="87"/>
    </row>
    <row r="38" spans="1:26" ht="15" customHeight="1" x14ac:dyDescent="0.3">
      <c r="A38" s="18" t="s">
        <v>303</v>
      </c>
      <c r="B38" s="100" t="s">
        <v>304</v>
      </c>
      <c r="C38" s="101"/>
      <c r="D38" s="101"/>
      <c r="E38" s="101"/>
      <c r="F38" s="101"/>
      <c r="G38" s="101"/>
      <c r="H38" s="101"/>
      <c r="I38" s="101"/>
      <c r="J38" s="87"/>
      <c r="K38" s="87"/>
      <c r="L38" s="87"/>
      <c r="M38" s="87"/>
      <c r="N38" s="87"/>
      <c r="O38" s="87"/>
      <c r="P38" s="87"/>
      <c r="Q38" s="87"/>
      <c r="R38" s="87"/>
      <c r="S38" s="87"/>
      <c r="T38" s="87"/>
      <c r="U38" s="87"/>
      <c r="V38" s="87"/>
      <c r="W38" s="87"/>
      <c r="X38" s="87"/>
      <c r="Y38" s="87"/>
      <c r="Z38" s="87"/>
    </row>
    <row r="39" spans="1:26" ht="15" customHeight="1" x14ac:dyDescent="0.3">
      <c r="A39" s="18" t="s">
        <v>305</v>
      </c>
      <c r="B39" s="100" t="s">
        <v>306</v>
      </c>
      <c r="C39" s="101"/>
      <c r="D39" s="101"/>
      <c r="E39" s="101"/>
      <c r="F39" s="101"/>
      <c r="G39" s="101"/>
      <c r="H39" s="101"/>
      <c r="I39" s="101"/>
      <c r="J39" s="87"/>
      <c r="K39" s="87"/>
      <c r="L39" s="87"/>
      <c r="M39" s="87"/>
      <c r="N39" s="87"/>
      <c r="O39" s="87"/>
      <c r="P39" s="87"/>
      <c r="Q39" s="87"/>
      <c r="R39" s="87"/>
      <c r="S39" s="87"/>
      <c r="T39" s="87"/>
      <c r="U39" s="87"/>
      <c r="V39" s="87"/>
      <c r="W39" s="87"/>
      <c r="X39" s="87"/>
      <c r="Y39" s="87"/>
      <c r="Z39" s="87"/>
    </row>
    <row r="40" spans="1:26" ht="15" customHeight="1" x14ac:dyDescent="0.3">
      <c r="A40" s="18" t="s">
        <v>307</v>
      </c>
      <c r="B40" s="100" t="s">
        <v>308</v>
      </c>
      <c r="C40" s="101"/>
      <c r="D40" s="101"/>
      <c r="E40" s="101"/>
      <c r="F40" s="101"/>
      <c r="G40" s="101"/>
      <c r="H40" s="101"/>
      <c r="I40" s="101"/>
    </row>
    <row r="44" spans="1:26" x14ac:dyDescent="0.3">
      <c r="A44" s="87"/>
      <c r="B44" s="87"/>
      <c r="C44" s="87"/>
      <c r="D44" s="87"/>
      <c r="E44" s="87"/>
    </row>
    <row r="45" spans="1:26" x14ac:dyDescent="0.3">
      <c r="A45" s="87"/>
      <c r="B45" s="87"/>
      <c r="C45" s="87"/>
      <c r="D45" s="87"/>
      <c r="E45" s="87"/>
    </row>
    <row r="46" spans="1:26" x14ac:dyDescent="0.3">
      <c r="A46" s="87"/>
      <c r="B46" s="87"/>
      <c r="C46" s="87"/>
      <c r="D46" s="87"/>
      <c r="E46" s="87"/>
    </row>
    <row r="47" spans="1:26" x14ac:dyDescent="0.3">
      <c r="A47" s="87"/>
      <c r="B47" s="87"/>
      <c r="C47" s="87"/>
      <c r="D47" s="87"/>
      <c r="E47" s="87"/>
    </row>
    <row r="48" spans="1:26" x14ac:dyDescent="0.3">
      <c r="A48" s="87"/>
      <c r="B48" s="87"/>
      <c r="C48" s="87"/>
      <c r="D48" s="87"/>
      <c r="E48" s="87"/>
    </row>
    <row r="49" spans="1:8" x14ac:dyDescent="0.3">
      <c r="A49" s="87"/>
      <c r="B49" s="87"/>
      <c r="C49" s="87"/>
      <c r="D49" s="87"/>
      <c r="E49" s="87"/>
    </row>
    <row r="50" spans="1:8" x14ac:dyDescent="0.3">
      <c r="A50" s="87"/>
      <c r="B50" s="87"/>
      <c r="C50" s="87"/>
      <c r="D50" s="87"/>
      <c r="E50" s="87"/>
    </row>
    <row r="54" spans="1:8" x14ac:dyDescent="0.3">
      <c r="A54" s="87"/>
      <c r="B54" s="87"/>
    </row>
    <row r="57" spans="1:8" x14ac:dyDescent="0.3">
      <c r="A57" s="87"/>
      <c r="B57" s="87"/>
      <c r="C57" s="87"/>
      <c r="D57" s="87"/>
      <c r="E57" s="87"/>
      <c r="F57" s="87"/>
      <c r="G57" s="87"/>
      <c r="H57" s="87"/>
    </row>
    <row r="58" spans="1:8" x14ac:dyDescent="0.3">
      <c r="A58" s="87"/>
      <c r="B58" s="87"/>
      <c r="C58" s="87"/>
      <c r="D58" s="87"/>
      <c r="E58" s="87"/>
      <c r="F58" s="87"/>
      <c r="G58" s="87"/>
      <c r="H58" s="87"/>
    </row>
    <row r="59" spans="1:8" x14ac:dyDescent="0.3">
      <c r="A59" s="87"/>
      <c r="B59" s="87"/>
      <c r="C59" s="87"/>
      <c r="D59" s="87"/>
      <c r="E59" s="87"/>
      <c r="F59" s="87"/>
      <c r="G59" s="87"/>
      <c r="H59" s="87"/>
    </row>
    <row r="60" spans="1:8" x14ac:dyDescent="0.3">
      <c r="A60" s="87"/>
      <c r="B60" s="87"/>
      <c r="C60" s="87"/>
      <c r="D60" s="87"/>
      <c r="E60" s="87"/>
      <c r="F60" s="87"/>
      <c r="G60" s="87"/>
      <c r="H60" s="87"/>
    </row>
    <row r="61" spans="1:8" x14ac:dyDescent="0.3">
      <c r="A61" s="87"/>
      <c r="B61" s="87"/>
      <c r="C61" s="87"/>
      <c r="D61" s="87"/>
      <c r="E61" s="87"/>
      <c r="F61" s="87"/>
      <c r="G61" s="87"/>
      <c r="H61" s="87"/>
    </row>
    <row r="62" spans="1:8" x14ac:dyDescent="0.3">
      <c r="A62" s="87"/>
      <c r="B62" s="87"/>
      <c r="C62" s="87"/>
      <c r="D62" s="87"/>
      <c r="E62" s="87"/>
      <c r="F62" s="87"/>
      <c r="G62" s="87"/>
      <c r="H62" s="87"/>
    </row>
    <row r="63" spans="1:8" x14ac:dyDescent="0.3">
      <c r="A63" s="87"/>
      <c r="B63" s="87"/>
      <c r="C63" s="87"/>
      <c r="D63" s="87"/>
      <c r="E63" s="87"/>
      <c r="F63" s="87"/>
      <c r="G63" s="87"/>
      <c r="H63" s="87"/>
    </row>
    <row r="64" spans="1:8" x14ac:dyDescent="0.3">
      <c r="A64" s="87"/>
      <c r="B64" s="87"/>
      <c r="C64" s="87"/>
      <c r="D64" s="87"/>
      <c r="E64" s="87"/>
      <c r="F64" s="87"/>
      <c r="G64" s="87"/>
      <c r="H64" s="87"/>
    </row>
    <row r="66" spans="1:8" x14ac:dyDescent="0.3">
      <c r="A66" s="87"/>
      <c r="B66" s="87"/>
    </row>
    <row r="68" spans="1:8" x14ac:dyDescent="0.3">
      <c r="A68" s="87"/>
      <c r="B68" s="87"/>
      <c r="C68" s="87"/>
      <c r="D68" s="87"/>
      <c r="E68" s="87"/>
      <c r="F68" s="87"/>
      <c r="G68" s="87"/>
    </row>
    <row r="72" spans="1:8" x14ac:dyDescent="0.3">
      <c r="A72" s="87"/>
      <c r="B72" s="87"/>
      <c r="C72" s="87"/>
      <c r="D72" s="87"/>
      <c r="E72" s="87"/>
      <c r="F72" s="87"/>
      <c r="G72" s="87"/>
      <c r="H72" s="87"/>
    </row>
    <row r="73" spans="1:8" x14ac:dyDescent="0.3">
      <c r="A73" s="87"/>
      <c r="B73" s="87"/>
      <c r="C73" s="87"/>
      <c r="D73" s="87"/>
      <c r="E73" s="87"/>
      <c r="F73" s="87"/>
      <c r="G73" s="87"/>
      <c r="H73" s="87"/>
    </row>
    <row r="74" spans="1:8" x14ac:dyDescent="0.3">
      <c r="A74" s="87"/>
      <c r="B74" s="87"/>
      <c r="C74" s="87"/>
      <c r="D74" s="87"/>
      <c r="E74" s="87"/>
      <c r="F74" s="87"/>
      <c r="G74" s="87"/>
      <c r="H74" s="87"/>
    </row>
    <row r="75" spans="1:8" x14ac:dyDescent="0.3">
      <c r="A75" s="87"/>
      <c r="B75" s="87"/>
      <c r="C75" s="87"/>
      <c r="D75" s="87"/>
      <c r="E75" s="87"/>
      <c r="F75" s="87"/>
      <c r="G75" s="87"/>
      <c r="H75" s="87"/>
    </row>
    <row r="76" spans="1:8" x14ac:dyDescent="0.3">
      <c r="A76" s="87"/>
      <c r="B76" s="87"/>
      <c r="C76" s="87"/>
      <c r="D76" s="87"/>
      <c r="E76" s="87"/>
      <c r="F76" s="87"/>
      <c r="G76" s="87"/>
      <c r="H76" s="87"/>
    </row>
    <row r="77" spans="1:8" x14ac:dyDescent="0.3">
      <c r="A77" s="87"/>
      <c r="B77" s="87"/>
      <c r="C77" s="87"/>
      <c r="D77" s="87"/>
      <c r="E77" s="87"/>
      <c r="F77" s="87"/>
      <c r="G77" s="87"/>
      <c r="H77" s="87"/>
    </row>
  </sheetData>
  <sheetProtection sheet="1" formatColumns="0" formatRows="0"/>
  <mergeCells count="7">
    <mergeCell ref="B40:I40"/>
    <mergeCell ref="A33:I33"/>
    <mergeCell ref="B39:I39"/>
    <mergeCell ref="B38:I38"/>
    <mergeCell ref="B36:I36"/>
    <mergeCell ref="B37:I37"/>
    <mergeCell ref="A34:I34"/>
  </mergeCells>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topLeftCell="B7" zoomScaleNormal="100" workbookViewId="0"/>
  </sheetViews>
  <sheetFormatPr defaultColWidth="8.6640625" defaultRowHeight="14.4" x14ac:dyDescent="0.3"/>
  <cols>
    <col min="1" max="1" width="44" customWidth="1"/>
    <col min="2" max="4" width="18" customWidth="1"/>
    <col min="5" max="5" width="14" customWidth="1"/>
    <col min="6" max="6" width="50" customWidth="1"/>
    <col min="7" max="7" width="56" customWidth="1"/>
    <col min="60" max="60" width="9.21875" customWidth="1"/>
  </cols>
  <sheetData>
    <row r="1" spans="1:7" ht="17.25" customHeight="1" x14ac:dyDescent="0.3">
      <c r="A1" s="1" t="s">
        <v>309</v>
      </c>
    </row>
    <row r="2" spans="1:7" ht="15" customHeight="1" x14ac:dyDescent="0.3">
      <c r="A2" s="8" t="s">
        <v>310</v>
      </c>
    </row>
    <row r="4" spans="1:7" ht="15" customHeight="1" x14ac:dyDescent="0.3">
      <c r="A4" s="12" t="s">
        <v>311</v>
      </c>
      <c r="B4" s="12" t="s">
        <v>312</v>
      </c>
      <c r="C4" s="12" t="s">
        <v>313</v>
      </c>
      <c r="D4" s="12" t="s">
        <v>314</v>
      </c>
      <c r="E4" s="12" t="s">
        <v>168</v>
      </c>
      <c r="F4" s="12" t="s">
        <v>169</v>
      </c>
      <c r="G4" s="12" t="s">
        <v>315</v>
      </c>
    </row>
    <row r="5" spans="1:7" ht="46.05" customHeight="1" x14ac:dyDescent="0.3">
      <c r="A5" s="50" t="s">
        <v>316</v>
      </c>
      <c r="B5" s="51">
        <v>1.1000000000000001</v>
      </c>
      <c r="C5" s="51">
        <v>1</v>
      </c>
      <c r="D5" s="51">
        <v>0.8</v>
      </c>
      <c r="E5" s="33" t="s">
        <v>317</v>
      </c>
      <c r="F5" s="17" t="s">
        <v>318</v>
      </c>
      <c r="G5" s="93" t="s">
        <v>319</v>
      </c>
    </row>
    <row r="6" spans="1:7" ht="31.95" customHeight="1" x14ac:dyDescent="0.3">
      <c r="A6" s="50" t="s">
        <v>320</v>
      </c>
      <c r="B6" s="51">
        <v>0.9</v>
      </c>
      <c r="C6" s="51">
        <v>1</v>
      </c>
      <c r="D6" s="51">
        <v>1.2</v>
      </c>
      <c r="E6" s="33" t="s">
        <v>317</v>
      </c>
      <c r="F6" s="17" t="s">
        <v>321</v>
      </c>
      <c r="G6" s="93" t="s">
        <v>322</v>
      </c>
    </row>
    <row r="7" spans="1:7" ht="43.95" customHeight="1" x14ac:dyDescent="0.3">
      <c r="A7" s="50" t="s">
        <v>323</v>
      </c>
      <c r="B7" s="52">
        <f>C7*1.3</f>
        <v>15.600000000000001</v>
      </c>
      <c r="C7" s="52">
        <v>12</v>
      </c>
      <c r="D7" s="52">
        <f>C7*0.5</f>
        <v>6</v>
      </c>
      <c r="E7" s="33" t="s">
        <v>324</v>
      </c>
      <c r="F7" s="17" t="s">
        <v>325</v>
      </c>
      <c r="G7" s="93" t="s">
        <v>326</v>
      </c>
    </row>
    <row r="8" spans="1:7" ht="46.05" customHeight="1" x14ac:dyDescent="0.3">
      <c r="A8" s="50" t="s">
        <v>327</v>
      </c>
      <c r="B8" s="36">
        <f>C8*1.6</f>
        <v>8.0000000000000016E-2</v>
      </c>
      <c r="C8" s="36">
        <v>0.05</v>
      </c>
      <c r="D8" s="36">
        <f>C8*0.4</f>
        <v>2.0000000000000004E-2</v>
      </c>
      <c r="E8" s="33" t="s">
        <v>198</v>
      </c>
      <c r="F8" s="17" t="s">
        <v>328</v>
      </c>
      <c r="G8" s="93" t="s">
        <v>329</v>
      </c>
    </row>
    <row r="9" spans="1:7" ht="46.05" customHeight="1" x14ac:dyDescent="0.3">
      <c r="A9" s="50" t="s">
        <v>330</v>
      </c>
      <c r="B9" s="36">
        <f>C9*0.6</f>
        <v>1.7999999999999999E-2</v>
      </c>
      <c r="C9" s="36">
        <v>0.03</v>
      </c>
      <c r="D9" s="36">
        <f>C9*1.6</f>
        <v>4.8000000000000001E-2</v>
      </c>
      <c r="E9" s="33" t="s">
        <v>198</v>
      </c>
      <c r="F9" s="17" t="s">
        <v>331</v>
      </c>
      <c r="G9" s="93" t="s">
        <v>332</v>
      </c>
    </row>
    <row r="10" spans="1:7" ht="46.05" customHeight="1" x14ac:dyDescent="0.3">
      <c r="A10" s="50" t="s">
        <v>333</v>
      </c>
      <c r="B10" s="53">
        <f>C10*0.8</f>
        <v>7200000</v>
      </c>
      <c r="C10" s="53">
        <v>9000000</v>
      </c>
      <c r="D10" s="53">
        <f>C10*1.5</f>
        <v>13500000</v>
      </c>
      <c r="E10" s="33" t="s">
        <v>334</v>
      </c>
      <c r="F10" s="17" t="s">
        <v>335</v>
      </c>
      <c r="G10" s="93" t="s">
        <v>336</v>
      </c>
    </row>
    <row r="11" spans="1:7" ht="43.95" customHeight="1" x14ac:dyDescent="0.3">
      <c r="A11" s="50" t="s">
        <v>337</v>
      </c>
      <c r="B11" s="53">
        <f>C11</f>
        <v>200000000</v>
      </c>
      <c r="C11" s="53">
        <v>200000000</v>
      </c>
      <c r="D11" s="53">
        <f>C11</f>
        <v>200000000</v>
      </c>
      <c r="E11" s="33" t="s">
        <v>261</v>
      </c>
      <c r="F11" s="17" t="s">
        <v>338</v>
      </c>
      <c r="G11" s="93" t="s">
        <v>339</v>
      </c>
    </row>
    <row r="12" spans="1:7" ht="72" customHeight="1" x14ac:dyDescent="0.3">
      <c r="A12" s="50" t="s">
        <v>340</v>
      </c>
      <c r="B12" s="53">
        <f>C12</f>
        <v>900000000</v>
      </c>
      <c r="C12" s="53">
        <v>900000000</v>
      </c>
      <c r="D12" s="53">
        <f>C12</f>
        <v>900000000</v>
      </c>
      <c r="E12" s="33" t="s">
        <v>202</v>
      </c>
      <c r="F12" s="17" t="s">
        <v>341</v>
      </c>
      <c r="G12" s="93" t="s">
        <v>342</v>
      </c>
    </row>
    <row r="13" spans="1:7" ht="31.95" customHeight="1" x14ac:dyDescent="0.3">
      <c r="A13" s="50" t="s">
        <v>343</v>
      </c>
      <c r="B13" s="53">
        <f>C13</f>
        <v>2500000000</v>
      </c>
      <c r="C13" s="53">
        <v>2500000000</v>
      </c>
      <c r="D13" s="53">
        <f>C13</f>
        <v>2500000000</v>
      </c>
      <c r="E13" s="33" t="s">
        <v>202</v>
      </c>
      <c r="F13" s="17" t="s">
        <v>344</v>
      </c>
      <c r="G13" s="93" t="s">
        <v>345</v>
      </c>
    </row>
    <row r="14" spans="1:7" ht="16.95" customHeight="1" x14ac:dyDescent="0.3">
      <c r="A14" s="33" t="s">
        <v>346</v>
      </c>
      <c r="B14" s="36">
        <v>0.15</v>
      </c>
      <c r="C14" s="36">
        <v>0.15</v>
      </c>
      <c r="D14" s="36">
        <v>0.15</v>
      </c>
      <c r="E14" s="33" t="s">
        <v>198</v>
      </c>
      <c r="F14" s="17" t="s">
        <v>347</v>
      </c>
      <c r="G14" s="93" t="s">
        <v>348</v>
      </c>
    </row>
    <row r="16" spans="1:7" ht="15" customHeight="1" x14ac:dyDescent="0.3">
      <c r="A16" s="105" t="s">
        <v>349</v>
      </c>
      <c r="B16" s="87"/>
      <c r="C16" s="87"/>
      <c r="D16" s="87"/>
      <c r="E16" s="87"/>
    </row>
    <row r="17" spans="1:5" ht="15" customHeight="1" x14ac:dyDescent="0.3">
      <c r="A17" s="37" t="s">
        <v>350</v>
      </c>
      <c r="B17" s="38">
        <f>'2_Định giá'!D17*B5*(1-'2_Định giá'!$B$27)</f>
        <v>4367000</v>
      </c>
      <c r="C17" s="38">
        <f>'2_Định giá'!D17*C5*(1-'2_Định giá'!$B$27)</f>
        <v>3970000</v>
      </c>
      <c r="D17" s="38">
        <f>'2_Định giá'!D17*D5*(1-'2_Định giá'!$B$27)</f>
        <v>3176000</v>
      </c>
      <c r="E17" s="87"/>
    </row>
    <row r="18" spans="1:5" ht="15" customHeight="1" x14ac:dyDescent="0.3">
      <c r="A18" s="37" t="s">
        <v>351</v>
      </c>
      <c r="B18" s="38">
        <f>'2_Định giá'!E17*B6</f>
        <v>1115725.8816000002</v>
      </c>
      <c r="C18" s="38">
        <f>'2_Định giá'!E17*C6</f>
        <v>1239695.4240000001</v>
      </c>
      <c r="D18" s="38">
        <f>'2_Định giá'!E17*D6</f>
        <v>1487634.5088000002</v>
      </c>
      <c r="E18" s="87"/>
    </row>
    <row r="19" spans="1:5" ht="15" customHeight="1" x14ac:dyDescent="0.3">
      <c r="A19" s="96" t="s">
        <v>352</v>
      </c>
      <c r="B19" s="87"/>
      <c r="C19" s="87"/>
      <c r="D19" s="87"/>
      <c r="E19" s="87"/>
    </row>
    <row r="20" spans="1:5" ht="15" customHeight="1" x14ac:dyDescent="0.3">
      <c r="A20" s="105" t="s">
        <v>353</v>
      </c>
      <c r="B20" s="87"/>
      <c r="C20" s="87"/>
      <c r="D20" s="87"/>
      <c r="E20" s="87"/>
    </row>
    <row r="21" spans="1:5" ht="15" customHeight="1" x14ac:dyDescent="0.3">
      <c r="A21" s="37" t="s">
        <v>354</v>
      </c>
      <c r="B21" s="45" t="str">
        <f>IF(C9=0,"Chưa điền",IF(D9&gt;=1.5*C9,"Đạt","Chưa đủ sốc"))</f>
        <v>Đạt</v>
      </c>
      <c r="C21" s="87"/>
      <c r="D21" s="87"/>
      <c r="E21" s="87"/>
    </row>
    <row r="22" spans="1:5" ht="15" customHeight="1" x14ac:dyDescent="0.3">
      <c r="A22" s="37" t="s">
        <v>355</v>
      </c>
      <c r="B22" s="45" t="str">
        <f>IF(C10=0,"Chưa điền",IF(D10&gt;=1.5*C10,"Đạt","Chưa đủ sốc"))</f>
        <v>Đạt</v>
      </c>
      <c r="C22" s="87"/>
      <c r="D22" s="87"/>
      <c r="E22" s="87"/>
    </row>
  </sheetData>
  <sheetProtection sheet="1" formatColumns="0" formatRows="0"/>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7"/>
  <sheetViews>
    <sheetView zoomScaleNormal="100" workbookViewId="0"/>
  </sheetViews>
  <sheetFormatPr defaultColWidth="8.6640625" defaultRowHeight="14.4" x14ac:dyDescent="0.3"/>
  <cols>
    <col min="1" max="1" width="40" customWidth="1"/>
    <col min="2" max="4" width="18" customWidth="1"/>
    <col min="5" max="5" width="20" customWidth="1"/>
  </cols>
  <sheetData>
    <row r="1" spans="1:5" ht="17.25" customHeight="1" x14ac:dyDescent="0.3">
      <c r="A1" s="1" t="s">
        <v>356</v>
      </c>
    </row>
    <row r="2" spans="1:5" ht="15" customHeight="1" x14ac:dyDescent="0.3">
      <c r="A2" s="8" t="s">
        <v>357</v>
      </c>
    </row>
    <row r="4" spans="1:5" ht="15" customHeight="1" x14ac:dyDescent="0.3">
      <c r="A4" s="12" t="s">
        <v>358</v>
      </c>
      <c r="B4" s="12" t="s">
        <v>312</v>
      </c>
      <c r="C4" s="12" t="s">
        <v>313</v>
      </c>
      <c r="D4" s="12" t="s">
        <v>314</v>
      </c>
      <c r="E4" s="12" t="s">
        <v>359</v>
      </c>
    </row>
    <row r="5" spans="1:5" ht="15" customHeight="1" x14ac:dyDescent="0.3">
      <c r="A5" s="37" t="s">
        <v>350</v>
      </c>
      <c r="B5" s="38">
        <f>'3_Giả định'!B17</f>
        <v>4367000</v>
      </c>
      <c r="C5" s="38">
        <f>'3_Giả định'!C17</f>
        <v>3970000</v>
      </c>
      <c r="D5" s="38">
        <f>'3_Giả định'!D17</f>
        <v>3176000</v>
      </c>
      <c r="E5" s="37"/>
    </row>
    <row r="6" spans="1:5" ht="15" customHeight="1" x14ac:dyDescent="0.3">
      <c r="A6" s="37" t="s">
        <v>360</v>
      </c>
      <c r="B6" s="38">
        <f>'3_Giả định'!B17-'3_Giả định'!B18</f>
        <v>3251274.1184</v>
      </c>
      <c r="C6" s="38">
        <f>'3_Giả định'!C17-'3_Giả định'!C18</f>
        <v>2730304.5759999999</v>
      </c>
      <c r="D6" s="38">
        <f>'3_Giả định'!D17-'3_Giả định'!D18</f>
        <v>1688365.4911999998</v>
      </c>
      <c r="E6" s="37"/>
    </row>
    <row r="7" spans="1:5" ht="15" customHeight="1" x14ac:dyDescent="0.3">
      <c r="A7" s="37" t="s">
        <v>104</v>
      </c>
      <c r="B7" s="40">
        <f>IFERROR(B6/B5,0)</f>
        <v>0.74450975919395468</v>
      </c>
      <c r="C7" s="40">
        <f>IFERROR(C6/C5,0)</f>
        <v>0.68773415012594452</v>
      </c>
      <c r="D7" s="40">
        <f>IFERROR(D6/D5,0)</f>
        <v>0.53160122518891684</v>
      </c>
      <c r="E7" s="37" t="s">
        <v>361</v>
      </c>
    </row>
    <row r="8" spans="1:5" ht="15" customHeight="1" x14ac:dyDescent="0.3">
      <c r="A8" s="37" t="s">
        <v>362</v>
      </c>
      <c r="B8" s="54">
        <f>IFERROR(1/'3_Giả định'!B9,0)</f>
        <v>55.555555555555557</v>
      </c>
      <c r="C8" s="54">
        <f>IFERROR(1/'3_Giả định'!C9,0)</f>
        <v>33.333333333333336</v>
      </c>
      <c r="D8" s="54">
        <f>IFERROR(1/'3_Giả định'!D9,0)</f>
        <v>20.833333333333332</v>
      </c>
      <c r="E8" s="37"/>
    </row>
    <row r="9" spans="1:5" ht="15" customHeight="1" x14ac:dyDescent="0.3">
      <c r="A9" s="37" t="s">
        <v>363</v>
      </c>
      <c r="B9" s="38">
        <f>B6*B8</f>
        <v>180626339.91111112</v>
      </c>
      <c r="C9" s="38">
        <f>C6*C8</f>
        <v>91010152.533333331</v>
      </c>
      <c r="D9" s="38">
        <f>D6*D8</f>
        <v>35174281.066666663</v>
      </c>
      <c r="E9" s="37"/>
    </row>
    <row r="10" spans="1:5" ht="15" customHeight="1" x14ac:dyDescent="0.3">
      <c r="A10" s="37" t="s">
        <v>364</v>
      </c>
      <c r="B10" s="38">
        <f>'3_Giả định'!B10</f>
        <v>7200000</v>
      </c>
      <c r="C10" s="38">
        <f>'3_Giả định'!C10</f>
        <v>9000000</v>
      </c>
      <c r="D10" s="38">
        <f>'3_Giả định'!D10</f>
        <v>13500000</v>
      </c>
      <c r="E10" s="37"/>
    </row>
    <row r="11" spans="1:5" ht="15" customHeight="1" x14ac:dyDescent="0.3">
      <c r="A11" s="37" t="s">
        <v>365</v>
      </c>
      <c r="B11" s="55">
        <f>IFERROR(B9/B10,0)</f>
        <v>25.08699165432099</v>
      </c>
      <c r="C11" s="55">
        <f>IFERROR(C9/C10,0)</f>
        <v>10.112239170370371</v>
      </c>
      <c r="D11" s="55">
        <f>IFERROR(D9/D10,0)</f>
        <v>2.6055023012345675</v>
      </c>
      <c r="E11" s="10" t="s">
        <v>366</v>
      </c>
    </row>
    <row r="12" spans="1:5" ht="15" customHeight="1" x14ac:dyDescent="0.3">
      <c r="A12" s="37" t="s">
        <v>367</v>
      </c>
      <c r="B12" s="54">
        <f>IFERROR(B10/B6,0)</f>
        <v>2.214516444261927</v>
      </c>
      <c r="C12" s="54">
        <f>IFERROR(C10/C6,0)</f>
        <v>3.2963355367426965</v>
      </c>
      <c r="D12" s="54">
        <f>IFERROR(D10/D6,0)</f>
        <v>7.9958990339259559</v>
      </c>
      <c r="E12" s="37" t="s">
        <v>368</v>
      </c>
    </row>
    <row r="13" spans="1:5" ht="15" customHeight="1" x14ac:dyDescent="0.3">
      <c r="A13" s="37" t="s">
        <v>369</v>
      </c>
      <c r="B13" s="56" t="str">
        <f>IF(B5&lt;=0,"Chưa điền trang 2–3",IF(B6&lt;=0,"Lỗ trên từng khách",IF(AND(B11&gt;3,B12&lt;12,B7&gt;=0.6),"Khỏe",IF(B11&gt;=1,"Cần cải thiện","Đốt tiền"))))</f>
        <v>Khỏe</v>
      </c>
      <c r="C13" s="56" t="str">
        <f>IF(C5&lt;=0,"Chưa điền trang 2–3",IF(C6&lt;=0,"Lỗ trên từng khách",IF(AND(C11&gt;3,C12&lt;12,C7&gt;=0.6),"Khỏe",IF(C11&gt;=1,"Cần cải thiện","Đốt tiền"))))</f>
        <v>Khỏe</v>
      </c>
      <c r="D13" s="56" t="str">
        <f>IF(D5&lt;=0,"Chưa điền trang 2–3",IF(D6&lt;=0,"Lỗ trên từng khách",IF(AND(D11&gt;3,D12&lt;12,D7&gt;=0.6),"Khỏe",IF(D11&gt;=1,"Cần cải thiện","Đốt tiền"))))</f>
        <v>Cần cải thiện</v>
      </c>
      <c r="E13" s="37"/>
    </row>
    <row r="15" spans="1:5" x14ac:dyDescent="0.3">
      <c r="A15" s="87"/>
      <c r="B15" s="87"/>
      <c r="C15" s="87"/>
    </row>
    <row r="18" spans="1:3" x14ac:dyDescent="0.3">
      <c r="A18" s="87"/>
      <c r="B18" s="87"/>
      <c r="C18" s="87"/>
    </row>
    <row r="21" spans="1:3" x14ac:dyDescent="0.3">
      <c r="A21" s="87"/>
      <c r="B21" s="87"/>
      <c r="C21" s="87"/>
    </row>
    <row r="24" spans="1:3" x14ac:dyDescent="0.3">
      <c r="A24" s="87"/>
      <c r="B24" s="87"/>
      <c r="C24" s="87"/>
    </row>
    <row r="27" spans="1:3" x14ac:dyDescent="0.3">
      <c r="A27" s="87"/>
      <c r="B27" s="87"/>
      <c r="C27" s="87"/>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6"/>
  <sheetViews>
    <sheetView zoomScaleNormal="100" workbookViewId="0">
      <pane xSplit="1" ySplit="4" topLeftCell="B71" activePane="bottomRight" state="frozen"/>
      <selection pane="topRight" activeCell="B1" sqref="B1"/>
      <selection pane="bottomLeft" activeCell="A5" sqref="A5"/>
      <selection pane="bottomRight"/>
    </sheetView>
  </sheetViews>
  <sheetFormatPr defaultColWidth="8.6640625" defaultRowHeight="14.4" outlineLevelRow="1" x14ac:dyDescent="0.3"/>
  <cols>
    <col min="1" max="1" width="38" customWidth="1"/>
    <col min="2" max="26" width="18" customWidth="1"/>
  </cols>
  <sheetData>
    <row r="1" spans="1:26" ht="17.25" customHeight="1" x14ac:dyDescent="0.3">
      <c r="A1" s="1" t="s">
        <v>370</v>
      </c>
    </row>
    <row r="2" spans="1:26" ht="15" customHeight="1" x14ac:dyDescent="0.3">
      <c r="A2" s="8" t="s">
        <v>371</v>
      </c>
    </row>
    <row r="4" spans="1:26" ht="15" customHeight="1" x14ac:dyDescent="0.3">
      <c r="A4" s="12" t="s">
        <v>372</v>
      </c>
      <c r="B4" s="12" t="s">
        <v>373</v>
      </c>
      <c r="C4" s="12" t="s">
        <v>374</v>
      </c>
      <c r="D4" s="12" t="s">
        <v>375</v>
      </c>
      <c r="E4" s="12" t="s">
        <v>376</v>
      </c>
      <c r="F4" s="12" t="s">
        <v>377</v>
      </c>
      <c r="G4" s="12" t="s">
        <v>378</v>
      </c>
      <c r="H4" s="12" t="s">
        <v>379</v>
      </c>
      <c r="I4" s="12" t="s">
        <v>380</v>
      </c>
      <c r="J4" s="12" t="s">
        <v>381</v>
      </c>
      <c r="K4" s="12" t="s">
        <v>382</v>
      </c>
      <c r="L4" s="12" t="s">
        <v>383</v>
      </c>
      <c r="M4" s="12" t="s">
        <v>384</v>
      </c>
      <c r="N4" s="12" t="s">
        <v>385</v>
      </c>
      <c r="O4" s="12" t="s">
        <v>386</v>
      </c>
      <c r="P4" s="12" t="s">
        <v>387</v>
      </c>
      <c r="Q4" s="12" t="s">
        <v>388</v>
      </c>
      <c r="R4" s="12" t="s">
        <v>389</v>
      </c>
      <c r="S4" s="12" t="s">
        <v>390</v>
      </c>
      <c r="T4" s="12" t="s">
        <v>391</v>
      </c>
      <c r="U4" s="12" t="s">
        <v>392</v>
      </c>
      <c r="V4" s="12" t="s">
        <v>393</v>
      </c>
      <c r="W4" s="12" t="s">
        <v>394</v>
      </c>
      <c r="X4" s="12" t="s">
        <v>395</v>
      </c>
      <c r="Y4" s="12" t="s">
        <v>396</v>
      </c>
      <c r="Z4" s="12" t="s">
        <v>397</v>
      </c>
    </row>
    <row r="5" spans="1:26" ht="15" customHeight="1" x14ac:dyDescent="0.3">
      <c r="A5" s="102" t="s">
        <v>398</v>
      </c>
      <c r="B5" s="37"/>
      <c r="C5" s="37"/>
      <c r="D5" s="37"/>
      <c r="E5" s="37"/>
      <c r="F5" s="37"/>
      <c r="G5" s="37"/>
      <c r="H5" s="37"/>
      <c r="I5" s="37"/>
      <c r="J5" s="37"/>
      <c r="K5" s="37"/>
      <c r="L5" s="37"/>
      <c r="M5" s="37"/>
      <c r="N5" s="37"/>
      <c r="O5" s="37"/>
      <c r="P5" s="37"/>
      <c r="Q5" s="37"/>
      <c r="R5" s="37"/>
      <c r="S5" s="37"/>
      <c r="T5" s="37"/>
      <c r="U5" s="37"/>
      <c r="V5" s="37"/>
      <c r="W5" s="37"/>
      <c r="X5" s="37"/>
      <c r="Y5" s="37"/>
      <c r="Z5" s="37"/>
    </row>
    <row r="6" spans="1:26" ht="15" customHeight="1" x14ac:dyDescent="0.3">
      <c r="A6" s="37" t="s">
        <v>399</v>
      </c>
      <c r="B6" s="37"/>
      <c r="C6" s="103">
        <f>'3_Giả định'!$B$7*(1+'3_Giả định'!$B$8)^0</f>
        <v>15.600000000000001</v>
      </c>
      <c r="D6" s="103">
        <f>'3_Giả định'!$B$7*(1+'3_Giả định'!$B$8)^1</f>
        <v>16.848000000000003</v>
      </c>
      <c r="E6" s="103">
        <f>'3_Giả định'!$B$7*(1+'3_Giả định'!$B$8)^2</f>
        <v>18.195840000000004</v>
      </c>
      <c r="F6" s="103">
        <f>'3_Giả định'!$B$7*(1+'3_Giả định'!$B$8)^3</f>
        <v>19.651507200000005</v>
      </c>
      <c r="G6" s="103">
        <f>'3_Giả định'!$B$7*(1+'3_Giả định'!$B$8)^4</f>
        <v>21.223627776000008</v>
      </c>
      <c r="H6" s="103">
        <f>'3_Giả định'!$B$7*(1+'3_Giả định'!$B$8)^5</f>
        <v>22.921517998080006</v>
      </c>
      <c r="I6" s="103">
        <f>'3_Giả định'!$B$7*(1+'3_Giả định'!$B$8)^6</f>
        <v>24.755239437926409</v>
      </c>
      <c r="J6" s="103">
        <f>'3_Giả định'!$B$7*(1+'3_Giả định'!$B$8)^7</f>
        <v>26.735658592960526</v>
      </c>
      <c r="K6" s="103">
        <f>'3_Giả định'!$B$7*(1+'3_Giả định'!$B$8)^8</f>
        <v>28.874511280397368</v>
      </c>
      <c r="L6" s="103">
        <f>'3_Giả định'!$B$7*(1+'3_Giả định'!$B$8)^9</f>
        <v>31.184472182829158</v>
      </c>
      <c r="M6" s="103">
        <f>'3_Giả định'!$B$7*(1+'3_Giả định'!$B$8)^10</f>
        <v>33.67922995745549</v>
      </c>
      <c r="N6" s="103">
        <f>'3_Giả định'!$B$7*(1+'3_Giả định'!$B$8)^11</f>
        <v>36.373568354051933</v>
      </c>
      <c r="O6" s="103">
        <f>'3_Giả định'!$B$7*(1+'3_Giả định'!$B$8)^12</f>
        <v>39.283453822376089</v>
      </c>
      <c r="P6" s="103">
        <f>'3_Giả định'!$B$7*(1+'3_Giả định'!$B$8)^13</f>
        <v>42.426130128166179</v>
      </c>
      <c r="Q6" s="103">
        <f>'3_Giả định'!$B$7*(1+'3_Giả định'!$B$8)^14</f>
        <v>45.820220538419477</v>
      </c>
      <c r="R6" s="103">
        <f>'3_Giả định'!$B$7*(1+'3_Giả định'!$B$8)^15</f>
        <v>49.485838181493037</v>
      </c>
      <c r="S6" s="103">
        <f>'3_Giả định'!$B$7*(1+'3_Giả định'!$B$8)^16</f>
        <v>53.444705236012481</v>
      </c>
      <c r="T6" s="103">
        <f>'3_Giả định'!$B$7*(1+'3_Giả định'!$B$8)^17</f>
        <v>57.720281654893483</v>
      </c>
      <c r="U6" s="103">
        <f>'3_Giả định'!$B$7*(1+'3_Giả định'!$B$8)^18</f>
        <v>62.33790418728497</v>
      </c>
      <c r="V6" s="103">
        <f>'3_Giả định'!$B$7*(1+'3_Giả định'!$B$8)^19</f>
        <v>67.324936522267777</v>
      </c>
      <c r="W6" s="103">
        <f>'3_Giả định'!$B$7*(1+'3_Giả định'!$B$8)^20</f>
        <v>72.710931444049194</v>
      </c>
      <c r="X6" s="103">
        <f>'3_Giả định'!$B$7*(1+'3_Giả định'!$B$8)^21</f>
        <v>78.527805959573129</v>
      </c>
      <c r="Y6" s="103">
        <f>'3_Giả định'!$B$7*(1+'3_Giả định'!$B$8)^22</f>
        <v>84.810030436338991</v>
      </c>
      <c r="Z6" s="103">
        <f>'3_Giả định'!$B$7*(1+'3_Giả định'!$B$8)^23</f>
        <v>91.594832871246112</v>
      </c>
    </row>
    <row r="7" spans="1:26" ht="15" customHeight="1" x14ac:dyDescent="0.3">
      <c r="A7" s="37" t="s">
        <v>400</v>
      </c>
      <c r="B7" s="37">
        <v>0</v>
      </c>
      <c r="C7" s="103">
        <f>B7*(1-'3_Giả định'!$B$9)+C6</f>
        <v>15.600000000000001</v>
      </c>
      <c r="D7" s="103">
        <f>C7*(1-'3_Giả định'!$B$9)+D6</f>
        <v>32.167200000000001</v>
      </c>
      <c r="E7" s="103">
        <f>D7*(1-'3_Giả định'!$B$9)+E6</f>
        <v>49.784030400000006</v>
      </c>
      <c r="F7" s="103">
        <f>E7*(1-'3_Giả định'!$B$9)+F6</f>
        <v>68.539425052800013</v>
      </c>
      <c r="G7" s="103">
        <f>F7*(1-'3_Giả định'!$B$9)+G6</f>
        <v>88.529343177849626</v>
      </c>
      <c r="H7" s="103">
        <f>G7*(1-'3_Giả định'!$B$9)+H6</f>
        <v>109.85733299872834</v>
      </c>
      <c r="I7" s="103">
        <f>H7*(1-'3_Giả định'!$B$9)+I6</f>
        <v>132.63514044267765</v>
      </c>
      <c r="J7" s="103">
        <f>I7*(1-'3_Giả định'!$B$9)+J6</f>
        <v>156.98336650766998</v>
      </c>
      <c r="K7" s="103">
        <f>J7*(1-'3_Giả định'!$B$9)+K6</f>
        <v>183.0321771909293</v>
      </c>
      <c r="L7" s="103">
        <f>K7*(1-'3_Giả định'!$B$9)+L6</f>
        <v>210.92207018432174</v>
      </c>
      <c r="M7" s="103">
        <f>L7*(1-'3_Giả định'!$B$9)+M6</f>
        <v>240.80470287845941</v>
      </c>
      <c r="N7" s="103">
        <f>M7*(1-'3_Giả định'!$B$9)+N6</f>
        <v>272.84378658069909</v>
      </c>
      <c r="O7" s="103">
        <f>N7*(1-'3_Giả định'!$B$9)+O6</f>
        <v>307.21605224462257</v>
      </c>
      <c r="P7" s="103">
        <f>O7*(1-'3_Giả định'!$B$9)+P6</f>
        <v>344.11229343238551</v>
      </c>
      <c r="Q7" s="103">
        <f>P7*(1-'3_Giả định'!$B$9)+Q6</f>
        <v>383.738492689022</v>
      </c>
      <c r="R7" s="103">
        <f>Q7*(1-'3_Giả định'!$B$9)+R6</f>
        <v>426.31703800211261</v>
      </c>
      <c r="S7" s="103">
        <f>R7*(1-'3_Giả định'!$B$9)+S6</f>
        <v>472.08803655408701</v>
      </c>
      <c r="T7" s="103">
        <f>S7*(1-'3_Giả định'!$B$9)+T6</f>
        <v>521.31073355100693</v>
      </c>
      <c r="U7" s="103">
        <f>T7*(1-'3_Giả định'!$B$9)+U6</f>
        <v>574.26504453437383</v>
      </c>
      <c r="V7" s="103">
        <f>U7*(1-'3_Giả định'!$B$9)+V6</f>
        <v>631.25321025502285</v>
      </c>
      <c r="W7" s="103">
        <f>V7*(1-'3_Giả định'!$B$9)+W6</f>
        <v>692.60158391448158</v>
      </c>
      <c r="X7" s="103">
        <f>W7*(1-'3_Giả định'!$B$9)+X6</f>
        <v>758.66256136359402</v>
      </c>
      <c r="Y7" s="103">
        <f>X7*(1-'3_Giả định'!$B$9)+Y6</f>
        <v>829.81666569538834</v>
      </c>
      <c r="Z7" s="103">
        <f>Y7*(1-'3_Giả định'!$B$9)+Z6</f>
        <v>906.47479858411748</v>
      </c>
    </row>
    <row r="8" spans="1:26" ht="15" customHeight="1" x14ac:dyDescent="0.3">
      <c r="A8" s="37" t="s">
        <v>94</v>
      </c>
      <c r="B8" s="37"/>
      <c r="C8" s="104">
        <f>C7*'3_Giả định'!$B$17</f>
        <v>68125200</v>
      </c>
      <c r="D8" s="104">
        <f>D7*'3_Giả định'!$B$17</f>
        <v>140474162.40000001</v>
      </c>
      <c r="E8" s="104">
        <f>E7*'3_Giả định'!$B$17</f>
        <v>217406860.75680003</v>
      </c>
      <c r="F8" s="104">
        <f>F7*'3_Giả định'!$B$17</f>
        <v>299311669.20557767</v>
      </c>
      <c r="G8" s="104">
        <f>G7*'3_Giả định'!$B$17</f>
        <v>386607641.65766931</v>
      </c>
      <c r="H8" s="104">
        <f>H7*'3_Giả định'!$B$17</f>
        <v>479746973.20544666</v>
      </c>
      <c r="I8" s="104">
        <f>I7*'3_Giả định'!$B$17</f>
        <v>579217658.31317329</v>
      </c>
      <c r="J8" s="104">
        <f>J7*'3_Giả định'!$B$17</f>
        <v>685546361.53899479</v>
      </c>
      <c r="K8" s="104">
        <f>K7*'3_Giả định'!$B$17</f>
        <v>799301517.79278827</v>
      </c>
      <c r="L8" s="104">
        <f>L7*'3_Giả định'!$B$17</f>
        <v>921096680.49493301</v>
      </c>
      <c r="M8" s="104">
        <f>M7*'3_Giả định'!$B$17</f>
        <v>1051594137.4702322</v>
      </c>
      <c r="N8" s="104">
        <f>N7*'3_Giả định'!$B$17</f>
        <v>1191508815.9979129</v>
      </c>
      <c r="O8" s="104">
        <f>O7*'3_Giả định'!$B$17</f>
        <v>1341612500.1522667</v>
      </c>
      <c r="P8" s="104">
        <f>P7*'3_Giả định'!$B$17</f>
        <v>1502738385.4192276</v>
      </c>
      <c r="Q8" s="104">
        <f>Q7*'3_Giả định'!$B$17</f>
        <v>1675785997.5729589</v>
      </c>
      <c r="R8" s="104">
        <f>R7*'3_Giả định'!$B$17</f>
        <v>1861726504.9552257</v>
      </c>
      <c r="S8" s="104">
        <f>S7*'3_Giả định'!$B$17</f>
        <v>2061608455.6316979</v>
      </c>
      <c r="T8" s="104">
        <f>T7*'3_Giả định'!$B$17</f>
        <v>2276563973.4172473</v>
      </c>
      <c r="U8" s="104">
        <f>U7*'3_Giả định'!$B$17</f>
        <v>2507815449.4816103</v>
      </c>
      <c r="V8" s="104">
        <f>V7*'3_Giả định'!$B$17</f>
        <v>2756682769.1836848</v>
      </c>
      <c r="W8" s="104">
        <f>W7*'3_Giả định'!$B$17</f>
        <v>3024591116.9545412</v>
      </c>
      <c r="X8" s="104">
        <f>X7*'3_Giả định'!$B$17</f>
        <v>3313079405.4748149</v>
      </c>
      <c r="Y8" s="104">
        <f>Y7*'3_Giả định'!$B$17</f>
        <v>3623809379.0917606</v>
      </c>
      <c r="Z8" s="104">
        <f>Z7*'3_Giả định'!$B$17</f>
        <v>3958575445.416841</v>
      </c>
    </row>
    <row r="9" spans="1:26" ht="15" customHeight="1" x14ac:dyDescent="0.3">
      <c r="A9" s="37" t="s">
        <v>401</v>
      </c>
      <c r="B9" s="37"/>
      <c r="C9" s="104">
        <f>C7*'3_Giả định'!$B$18</f>
        <v>17405323.752960004</v>
      </c>
      <c r="D9" s="104">
        <f>D7*'3_Giả định'!$B$18</f>
        <v>35889777.578603528</v>
      </c>
      <c r="E9" s="104">
        <f>E7*'3_Giả định'!$B$18</f>
        <v>55545331.207641214</v>
      </c>
      <c r="F9" s="104">
        <f>F7*'3_Giả định'!$B$18</f>
        <v>76471210.441392437</v>
      </c>
      <c r="G9" s="104">
        <f>G7*'3_Giả định'!$B$18</f>
        <v>98774479.464575231</v>
      </c>
      <c r="H9" s="104">
        <f>H7*'3_Giả định'!$B$18</f>
        <v>122570669.71023098</v>
      </c>
      <c r="I9" s="104">
        <f>I7*'3_Giả định'!$B$18</f>
        <v>147984459.00154635</v>
      </c>
      <c r="J9" s="104">
        <f>J7*'3_Giả định'!$B$18</f>
        <v>175150404.99330604</v>
      </c>
      <c r="K9" s="104">
        <f>K7*'3_Giả định'!$B$18</f>
        <v>204213737.25751704</v>
      </c>
      <c r="L9" s="104">
        <f>L7*'3_Giả định'!$B$18</f>
        <v>235331212.7052995</v>
      </c>
      <c r="M9" s="104">
        <f>M7*'3_Giả định'!$B$18</f>
        <v>268672039.41249526</v>
      </c>
      <c r="N9" s="104">
        <f>N7*'3_Giả định'!$B$18</f>
        <v>304418874.32183278</v>
      </c>
      <c r="O9" s="104">
        <f>O7*'3_Giả định'!$B$18</f>
        <v>342768900.73230326</v>
      </c>
      <c r="P9" s="104">
        <f>P7*'3_Giả định'!$B$18</f>
        <v>383934991.95924628</v>
      </c>
      <c r="Q9" s="104">
        <f>Q7*'3_Giả định'!$B$18</f>
        <v>428146968.05931431</v>
      </c>
      <c r="R9" s="104">
        <f>R7*'3_Giả định'!$B$18</f>
        <v>475652953.06600785</v>
      </c>
      <c r="S9" s="104">
        <f>S7*'3_Giả định'!$B$18</f>
        <v>526720840.77712184</v>
      </c>
      <c r="T9" s="104">
        <f>T7*'3_Giả định'!$B$18</f>
        <v>581639877.77874005</v>
      </c>
      <c r="U9" s="104">
        <f>U7*'3_Giả định'!$B$18</f>
        <v>640722373.08517766</v>
      </c>
      <c r="V9" s="104">
        <f>V7*'3_Giả định'!$B$18</f>
        <v>704305544.52461565</v>
      </c>
      <c r="W9" s="104">
        <f>W7*'3_Giả định'!$B$18</f>
        <v>772753512.81054151</v>
      </c>
      <c r="X9" s="104">
        <f>X7*'3_Giả định'!$B$18</f>
        <v>846459455.11431015</v>
      </c>
      <c r="Y9" s="104">
        <f>Y7*'3_Giả định'!$B$18</f>
        <v>925847930.89935982</v>
      </c>
      <c r="Z9" s="104">
        <f>Z7*'3_Giả định'!$B$18</f>
        <v>1011377393.7984471</v>
      </c>
    </row>
    <row r="10" spans="1:26" ht="15" customHeight="1" x14ac:dyDescent="0.3">
      <c r="A10" s="37" t="s">
        <v>96</v>
      </c>
      <c r="B10" s="37"/>
      <c r="C10" s="104">
        <f t="shared" ref="C10:Z10" si="0">C8-C9</f>
        <v>50719876.247039996</v>
      </c>
      <c r="D10" s="104">
        <f t="shared" si="0"/>
        <v>104584384.82139647</v>
      </c>
      <c r="E10" s="104">
        <f t="shared" si="0"/>
        <v>161861529.54915881</v>
      </c>
      <c r="F10" s="104">
        <f t="shared" si="0"/>
        <v>222840458.76418525</v>
      </c>
      <c r="G10" s="104">
        <f t="shared" si="0"/>
        <v>287833162.19309407</v>
      </c>
      <c r="H10" s="104">
        <f t="shared" si="0"/>
        <v>357176303.49521565</v>
      </c>
      <c r="I10" s="104">
        <f t="shared" si="0"/>
        <v>431233199.31162691</v>
      </c>
      <c r="J10" s="104">
        <f t="shared" si="0"/>
        <v>510395956.54568875</v>
      </c>
      <c r="K10" s="104">
        <f t="shared" si="0"/>
        <v>595087780.53527117</v>
      </c>
      <c r="L10" s="104">
        <f t="shared" si="0"/>
        <v>685765467.78963351</v>
      </c>
      <c r="M10" s="104">
        <f t="shared" si="0"/>
        <v>782922098.05773699</v>
      </c>
      <c r="N10" s="104">
        <f t="shared" si="0"/>
        <v>887089941.67608011</v>
      </c>
      <c r="O10" s="104">
        <f t="shared" si="0"/>
        <v>998843599.41996348</v>
      </c>
      <c r="P10" s="104">
        <f t="shared" si="0"/>
        <v>1118803393.4599814</v>
      </c>
      <c r="Q10" s="104">
        <f t="shared" si="0"/>
        <v>1247639029.5136447</v>
      </c>
      <c r="R10" s="104">
        <f t="shared" si="0"/>
        <v>1386073551.8892179</v>
      </c>
      <c r="S10" s="104">
        <f t="shared" si="0"/>
        <v>1534887614.8545761</v>
      </c>
      <c r="T10" s="104">
        <f t="shared" si="0"/>
        <v>1694924095.6385074</v>
      </c>
      <c r="U10" s="104">
        <f t="shared" si="0"/>
        <v>1867093076.3964326</v>
      </c>
      <c r="V10" s="104">
        <f t="shared" si="0"/>
        <v>2052377224.6590691</v>
      </c>
      <c r="W10" s="104">
        <f t="shared" si="0"/>
        <v>2251837604.1439996</v>
      </c>
      <c r="X10" s="104">
        <f t="shared" si="0"/>
        <v>2466619950.3605046</v>
      </c>
      <c r="Y10" s="104">
        <f t="shared" si="0"/>
        <v>2697961448.1924009</v>
      </c>
      <c r="Z10" s="104">
        <f t="shared" si="0"/>
        <v>2947198051.6183939</v>
      </c>
    </row>
    <row r="11" spans="1:26" ht="15" customHeight="1" x14ac:dyDescent="0.3">
      <c r="A11" s="37" t="s">
        <v>402</v>
      </c>
      <c r="B11" s="37"/>
      <c r="C11" s="104">
        <f>C6*'3_Giả định'!$B$10</f>
        <v>112320000.00000001</v>
      </c>
      <c r="D11" s="104">
        <f>D6*'3_Giả định'!$B$10</f>
        <v>121305600.00000001</v>
      </c>
      <c r="E11" s="104">
        <f>E6*'3_Giả định'!$B$10</f>
        <v>131010048.00000003</v>
      </c>
      <c r="F11" s="104">
        <f>F6*'3_Giả định'!$B$10</f>
        <v>141490851.84000003</v>
      </c>
      <c r="G11" s="104">
        <f>G6*'3_Giả định'!$B$10</f>
        <v>152810119.98720005</v>
      </c>
      <c r="H11" s="104">
        <f>H6*'3_Giả định'!$B$10</f>
        <v>165034929.58617604</v>
      </c>
      <c r="I11" s="104">
        <f>I6*'3_Giả định'!$B$10</f>
        <v>178237723.95307013</v>
      </c>
      <c r="J11" s="104">
        <f>J6*'3_Giả định'!$B$10</f>
        <v>192496741.86931577</v>
      </c>
      <c r="K11" s="104">
        <f>K6*'3_Giả định'!$B$10</f>
        <v>207896481.21886104</v>
      </c>
      <c r="L11" s="104">
        <f>L6*'3_Giả định'!$B$10</f>
        <v>224528199.71636993</v>
      </c>
      <c r="M11" s="104">
        <f>M6*'3_Giả định'!$B$10</f>
        <v>242490455.69367954</v>
      </c>
      <c r="N11" s="104">
        <f>N6*'3_Giả định'!$B$10</f>
        <v>261889692.14917392</v>
      </c>
      <c r="O11" s="104">
        <f>O6*'3_Giả định'!$B$10</f>
        <v>282840867.52110785</v>
      </c>
      <c r="P11" s="104">
        <f>P6*'3_Giả định'!$B$10</f>
        <v>305468136.92279649</v>
      </c>
      <c r="Q11" s="104">
        <f>Q6*'3_Giả định'!$B$10</f>
        <v>329905587.87662023</v>
      </c>
      <c r="R11" s="104">
        <f>R6*'3_Giả định'!$B$10</f>
        <v>356298034.90674984</v>
      </c>
      <c r="S11" s="104">
        <f>S6*'3_Giả định'!$B$10</f>
        <v>384801877.69928986</v>
      </c>
      <c r="T11" s="104">
        <f>T6*'3_Giả định'!$B$10</f>
        <v>415586027.91523308</v>
      </c>
      <c r="U11" s="104">
        <f>U6*'3_Giả định'!$B$10</f>
        <v>448832910.14845181</v>
      </c>
      <c r="V11" s="104">
        <f>V6*'3_Giả định'!$B$10</f>
        <v>484739542.96032798</v>
      </c>
      <c r="W11" s="104">
        <f>W6*'3_Giả định'!$B$10</f>
        <v>523518706.39715421</v>
      </c>
      <c r="X11" s="104">
        <f>X6*'3_Giả định'!$B$10</f>
        <v>565400202.90892649</v>
      </c>
      <c r="Y11" s="104">
        <f>Y6*'3_Giả định'!$B$10</f>
        <v>610632219.14164078</v>
      </c>
      <c r="Z11" s="104">
        <f>Z6*'3_Giả định'!$B$10</f>
        <v>659482796.67297196</v>
      </c>
    </row>
    <row r="12" spans="1:26" ht="15" customHeight="1" x14ac:dyDescent="0.3">
      <c r="A12" s="37" t="s">
        <v>403</v>
      </c>
      <c r="B12" s="37"/>
      <c r="C12" s="104">
        <f>'3_Giả định'!$B$11</f>
        <v>200000000</v>
      </c>
      <c r="D12" s="104">
        <f>'3_Giả định'!$B$11</f>
        <v>200000000</v>
      </c>
      <c r="E12" s="104">
        <f>'3_Giả định'!$B$11</f>
        <v>200000000</v>
      </c>
      <c r="F12" s="104">
        <f>'3_Giả định'!$B$11</f>
        <v>200000000</v>
      </c>
      <c r="G12" s="104">
        <f>'3_Giả định'!$B$11</f>
        <v>200000000</v>
      </c>
      <c r="H12" s="104">
        <f>'3_Giả định'!$B$11</f>
        <v>200000000</v>
      </c>
      <c r="I12" s="104">
        <f>'3_Giả định'!$B$11</f>
        <v>200000000</v>
      </c>
      <c r="J12" s="104">
        <f>'3_Giả định'!$B$11</f>
        <v>200000000</v>
      </c>
      <c r="K12" s="104">
        <f>'3_Giả định'!$B$11</f>
        <v>200000000</v>
      </c>
      <c r="L12" s="104">
        <f>'3_Giả định'!$B$11</f>
        <v>200000000</v>
      </c>
      <c r="M12" s="104">
        <f>'3_Giả định'!$B$11</f>
        <v>200000000</v>
      </c>
      <c r="N12" s="104">
        <f>'3_Giả định'!$B$11</f>
        <v>200000000</v>
      </c>
      <c r="O12" s="104">
        <f>'3_Giả định'!$B$11</f>
        <v>200000000</v>
      </c>
      <c r="P12" s="104">
        <f>'3_Giả định'!$B$11</f>
        <v>200000000</v>
      </c>
      <c r="Q12" s="104">
        <f>'3_Giả định'!$B$11</f>
        <v>200000000</v>
      </c>
      <c r="R12" s="104">
        <f>'3_Giả định'!$B$11</f>
        <v>200000000</v>
      </c>
      <c r="S12" s="104">
        <f>'3_Giả định'!$B$11</f>
        <v>200000000</v>
      </c>
      <c r="T12" s="104">
        <f>'3_Giả định'!$B$11</f>
        <v>200000000</v>
      </c>
      <c r="U12" s="104">
        <f>'3_Giả định'!$B$11</f>
        <v>200000000</v>
      </c>
      <c r="V12" s="104">
        <f>'3_Giả định'!$B$11</f>
        <v>200000000</v>
      </c>
      <c r="W12" s="104">
        <f>'3_Giả định'!$B$11</f>
        <v>200000000</v>
      </c>
      <c r="X12" s="104">
        <f>'3_Giả định'!$B$11</f>
        <v>200000000</v>
      </c>
      <c r="Y12" s="104">
        <f>'3_Giả định'!$B$11</f>
        <v>200000000</v>
      </c>
      <c r="Z12" s="104">
        <f>'3_Giả định'!$B$11</f>
        <v>200000000</v>
      </c>
    </row>
    <row r="13" spans="1:26" ht="15" customHeight="1" x14ac:dyDescent="0.3">
      <c r="A13" s="37" t="s">
        <v>404</v>
      </c>
      <c r="B13" s="104">
        <f>-'3_Giả định'!$B$12</f>
        <v>-900000000</v>
      </c>
      <c r="C13" s="104">
        <f t="shared" ref="C13:Z13" si="1">C10-C11-C12</f>
        <v>-261600123.75296003</v>
      </c>
      <c r="D13" s="104">
        <f t="shared" si="1"/>
        <v>-216721215.17860353</v>
      </c>
      <c r="E13" s="104">
        <f t="shared" si="1"/>
        <v>-169148518.45084122</v>
      </c>
      <c r="F13" s="104">
        <f t="shared" si="1"/>
        <v>-118650393.07581478</v>
      </c>
      <c r="G13" s="104">
        <f t="shared" si="1"/>
        <v>-64976957.794105977</v>
      </c>
      <c r="H13" s="104">
        <f t="shared" si="1"/>
        <v>-7858626.0909603834</v>
      </c>
      <c r="I13" s="104">
        <f t="shared" si="1"/>
        <v>52995475.358556777</v>
      </c>
      <c r="J13" s="104">
        <f t="shared" si="1"/>
        <v>117899214.676373</v>
      </c>
      <c r="K13" s="104">
        <f t="shared" si="1"/>
        <v>187191299.31641012</v>
      </c>
      <c r="L13" s="104">
        <f t="shared" si="1"/>
        <v>261237268.07326359</v>
      </c>
      <c r="M13" s="104">
        <f t="shared" si="1"/>
        <v>340431642.36405742</v>
      </c>
      <c r="N13" s="104">
        <f t="shared" si="1"/>
        <v>425200249.52690625</v>
      </c>
      <c r="O13" s="104">
        <f t="shared" si="1"/>
        <v>516002731.89885569</v>
      </c>
      <c r="P13" s="104">
        <f t="shared" si="1"/>
        <v>613335256.53718495</v>
      </c>
      <c r="Q13" s="104">
        <f t="shared" si="1"/>
        <v>717733441.6370244</v>
      </c>
      <c r="R13" s="104">
        <f t="shared" si="1"/>
        <v>829775516.98246801</v>
      </c>
      <c r="S13" s="104">
        <f t="shared" si="1"/>
        <v>950085737.15528631</v>
      </c>
      <c r="T13" s="104">
        <f t="shared" si="1"/>
        <v>1079338067.7232742</v>
      </c>
      <c r="U13" s="104">
        <f t="shared" si="1"/>
        <v>1218260166.2479808</v>
      </c>
      <c r="V13" s="104">
        <f t="shared" si="1"/>
        <v>1367637681.698741</v>
      </c>
      <c r="W13" s="104">
        <f t="shared" si="1"/>
        <v>1528318897.7468452</v>
      </c>
      <c r="X13" s="104">
        <f t="shared" si="1"/>
        <v>1701219747.4515781</v>
      </c>
      <c r="Y13" s="104">
        <f t="shared" si="1"/>
        <v>1887329229.0507603</v>
      </c>
      <c r="Z13" s="104">
        <f t="shared" si="1"/>
        <v>2087715254.9454222</v>
      </c>
    </row>
    <row r="14" spans="1:26" ht="15" customHeight="1" x14ac:dyDescent="0.3">
      <c r="A14" s="37" t="s">
        <v>405</v>
      </c>
      <c r="B14" s="104">
        <f>'3_Giả định'!$B$13+B13</f>
        <v>1600000000</v>
      </c>
      <c r="C14" s="104">
        <f t="shared" ref="C14:Z14" si="2">B14+C13</f>
        <v>1338399876.24704</v>
      </c>
      <c r="D14" s="104">
        <f t="shared" si="2"/>
        <v>1121678661.0684366</v>
      </c>
      <c r="E14" s="104">
        <f t="shared" si="2"/>
        <v>952530142.61759543</v>
      </c>
      <c r="F14" s="104">
        <f t="shared" si="2"/>
        <v>833879749.54178071</v>
      </c>
      <c r="G14" s="104">
        <f t="shared" si="2"/>
        <v>768902791.7476747</v>
      </c>
      <c r="H14" s="104">
        <f t="shared" si="2"/>
        <v>761044165.65671432</v>
      </c>
      <c r="I14" s="104">
        <f t="shared" si="2"/>
        <v>814039641.01527107</v>
      </c>
      <c r="J14" s="104">
        <f t="shared" si="2"/>
        <v>931938855.69164407</v>
      </c>
      <c r="K14" s="104">
        <f t="shared" si="2"/>
        <v>1119130155.0080543</v>
      </c>
      <c r="L14" s="104">
        <f t="shared" si="2"/>
        <v>1380367423.0813179</v>
      </c>
      <c r="M14" s="104">
        <f t="shared" si="2"/>
        <v>1720799065.4453754</v>
      </c>
      <c r="N14" s="104">
        <f t="shared" si="2"/>
        <v>2145999314.9722817</v>
      </c>
      <c r="O14" s="104">
        <f t="shared" si="2"/>
        <v>2662002046.8711376</v>
      </c>
      <c r="P14" s="104">
        <f t="shared" si="2"/>
        <v>3275337303.4083223</v>
      </c>
      <c r="Q14" s="104">
        <f t="shared" si="2"/>
        <v>3993070745.0453467</v>
      </c>
      <c r="R14" s="104">
        <f t="shared" si="2"/>
        <v>4822846262.0278149</v>
      </c>
      <c r="S14" s="104">
        <f t="shared" si="2"/>
        <v>5772931999.1831017</v>
      </c>
      <c r="T14" s="104">
        <f t="shared" si="2"/>
        <v>6852270066.9063759</v>
      </c>
      <c r="U14" s="104">
        <f t="shared" si="2"/>
        <v>8070530233.154357</v>
      </c>
      <c r="V14" s="104">
        <f t="shared" si="2"/>
        <v>9438167914.8530979</v>
      </c>
      <c r="W14" s="104">
        <f t="shared" si="2"/>
        <v>10966486812.599943</v>
      </c>
      <c r="X14" s="104">
        <f t="shared" si="2"/>
        <v>12667706560.051521</v>
      </c>
      <c r="Y14" s="104">
        <f t="shared" si="2"/>
        <v>14555035789.102282</v>
      </c>
      <c r="Z14" s="104">
        <f t="shared" si="2"/>
        <v>16642751044.047703</v>
      </c>
    </row>
    <row r="15" spans="1:26" ht="15" customHeight="1" x14ac:dyDescent="0.3">
      <c r="A15" s="37" t="s">
        <v>406</v>
      </c>
      <c r="B15" s="104">
        <f>B13</f>
        <v>-900000000</v>
      </c>
      <c r="C15" s="104">
        <f t="shared" ref="C15:Z15" si="3">B15+C13</f>
        <v>-1161600123.75296</v>
      </c>
      <c r="D15" s="104">
        <f t="shared" si="3"/>
        <v>-1378321338.9315634</v>
      </c>
      <c r="E15" s="104">
        <f t="shared" si="3"/>
        <v>-1547469857.3824046</v>
      </c>
      <c r="F15" s="104">
        <f t="shared" si="3"/>
        <v>-1666120250.4582193</v>
      </c>
      <c r="G15" s="104">
        <f t="shared" si="3"/>
        <v>-1731097208.2523253</v>
      </c>
      <c r="H15" s="104">
        <f t="shared" si="3"/>
        <v>-1738955834.3432856</v>
      </c>
      <c r="I15" s="104">
        <f t="shared" si="3"/>
        <v>-1685960358.9847288</v>
      </c>
      <c r="J15" s="104">
        <f t="shared" si="3"/>
        <v>-1568061144.3083558</v>
      </c>
      <c r="K15" s="104">
        <f t="shared" si="3"/>
        <v>-1380869844.9919457</v>
      </c>
      <c r="L15" s="104">
        <f t="shared" si="3"/>
        <v>-1119632576.9186821</v>
      </c>
      <c r="M15" s="104">
        <f t="shared" si="3"/>
        <v>-779200934.55462468</v>
      </c>
      <c r="N15" s="104">
        <f t="shared" si="3"/>
        <v>-354000685.02771842</v>
      </c>
      <c r="O15" s="104">
        <f t="shared" si="3"/>
        <v>162002046.87113726</v>
      </c>
      <c r="P15" s="104">
        <f t="shared" si="3"/>
        <v>775337303.40832222</v>
      </c>
      <c r="Q15" s="104">
        <f t="shared" si="3"/>
        <v>1493070745.0453467</v>
      </c>
      <c r="R15" s="104">
        <f t="shared" si="3"/>
        <v>2322846262.0278149</v>
      </c>
      <c r="S15" s="104">
        <f t="shared" si="3"/>
        <v>3272931999.1831012</v>
      </c>
      <c r="T15" s="104">
        <f t="shared" si="3"/>
        <v>4352270066.9063759</v>
      </c>
      <c r="U15" s="104">
        <f t="shared" si="3"/>
        <v>5570530233.154357</v>
      </c>
      <c r="V15" s="104">
        <f t="shared" si="3"/>
        <v>6938167914.8530979</v>
      </c>
      <c r="W15" s="104">
        <f t="shared" si="3"/>
        <v>8466486812.5999432</v>
      </c>
      <c r="X15" s="104">
        <f t="shared" si="3"/>
        <v>10167706560.051521</v>
      </c>
      <c r="Y15" s="104">
        <f t="shared" si="3"/>
        <v>12055035789.102282</v>
      </c>
      <c r="Z15" s="104">
        <f t="shared" si="3"/>
        <v>14142751044.047703</v>
      </c>
    </row>
    <row r="17" spans="1:26" ht="15" customHeight="1" x14ac:dyDescent="0.3">
      <c r="A17" s="102" t="s">
        <v>407</v>
      </c>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spans="1:26" ht="15" customHeight="1" x14ac:dyDescent="0.3">
      <c r="A18" s="37" t="s">
        <v>399</v>
      </c>
      <c r="B18" s="37"/>
      <c r="C18" s="103">
        <f>'3_Giả định'!$C$7*(1+'3_Giả định'!$C$8)^0</f>
        <v>12</v>
      </c>
      <c r="D18" s="103">
        <f>'3_Giả định'!$C$7*(1+'3_Giả định'!$C$8)^1</f>
        <v>12.600000000000001</v>
      </c>
      <c r="E18" s="103">
        <f>'3_Giả định'!$C$7*(1+'3_Giả định'!$C$8)^2</f>
        <v>13.23</v>
      </c>
      <c r="F18" s="103">
        <f>'3_Giả định'!$C$7*(1+'3_Giả định'!$C$8)^3</f>
        <v>13.891500000000001</v>
      </c>
      <c r="G18" s="103">
        <f>'3_Giả định'!$C$7*(1+'3_Giả định'!$C$8)^4</f>
        <v>14.586075000000001</v>
      </c>
      <c r="H18" s="103">
        <f>'3_Giả định'!$C$7*(1+'3_Giả định'!$C$8)^5</f>
        <v>15.315378750000001</v>
      </c>
      <c r="I18" s="103">
        <f>'3_Giả định'!$C$7*(1+'3_Giả định'!$C$8)^6</f>
        <v>16.0811476875</v>
      </c>
      <c r="J18" s="103">
        <f>'3_Giả định'!$C$7*(1+'3_Giả định'!$C$8)^7</f>
        <v>16.885205071875003</v>
      </c>
      <c r="K18" s="103">
        <f>'3_Giả định'!$C$7*(1+'3_Giả định'!$C$8)^8</f>
        <v>17.729465325468752</v>
      </c>
      <c r="L18" s="103">
        <f>'3_Giả định'!$C$7*(1+'3_Giả định'!$C$8)^9</f>
        <v>18.615938591742189</v>
      </c>
      <c r="M18" s="103">
        <f>'3_Giả định'!$C$7*(1+'3_Giả định'!$C$8)^10</f>
        <v>19.5467355213293</v>
      </c>
      <c r="N18" s="103">
        <f>'3_Giả định'!$C$7*(1+'3_Giả định'!$C$8)^11</f>
        <v>20.524072297395765</v>
      </c>
      <c r="O18" s="103">
        <f>'3_Giả định'!$C$7*(1+'3_Giả định'!$C$8)^12</f>
        <v>21.550275912265551</v>
      </c>
      <c r="P18" s="103">
        <f>'3_Giả định'!$C$7*(1+'3_Giả định'!$C$8)^13</f>
        <v>22.627789707878833</v>
      </c>
      <c r="Q18" s="103">
        <f>'3_Giả định'!$C$7*(1+'3_Giả định'!$C$8)^14</f>
        <v>23.759179193272768</v>
      </c>
      <c r="R18" s="103">
        <f>'3_Giả định'!$C$7*(1+'3_Giả định'!$C$8)^15</f>
        <v>24.947138152936414</v>
      </c>
      <c r="S18" s="103">
        <f>'3_Giả định'!$C$7*(1+'3_Giả định'!$C$8)^16</f>
        <v>26.194495060583233</v>
      </c>
      <c r="T18" s="103">
        <f>'3_Giả định'!$C$7*(1+'3_Giả định'!$C$8)^17</f>
        <v>27.504219813612398</v>
      </c>
      <c r="U18" s="103">
        <f>'3_Giả định'!$C$7*(1+'3_Giả định'!$C$8)^18</f>
        <v>28.879430804293015</v>
      </c>
      <c r="V18" s="103">
        <f>'3_Giả định'!$C$7*(1+'3_Giả định'!$C$8)^19</f>
        <v>30.32340234450767</v>
      </c>
      <c r="W18" s="103">
        <f>'3_Giả định'!$C$7*(1+'3_Giả định'!$C$8)^20</f>
        <v>31.839572461733049</v>
      </c>
      <c r="X18" s="103">
        <f>'3_Giả định'!$C$7*(1+'3_Giả định'!$C$8)^21</f>
        <v>33.431551084819702</v>
      </c>
      <c r="Y18" s="103">
        <f>'3_Giả định'!$C$7*(1+'3_Giả định'!$C$8)^22</f>
        <v>35.103128639060685</v>
      </c>
      <c r="Z18" s="103">
        <f>'3_Giả định'!$C$7*(1+'3_Giả định'!$C$8)^23</f>
        <v>36.858285071013725</v>
      </c>
    </row>
    <row r="19" spans="1:26" ht="15" customHeight="1" x14ac:dyDescent="0.3">
      <c r="A19" s="37" t="s">
        <v>400</v>
      </c>
      <c r="B19" s="37">
        <v>0</v>
      </c>
      <c r="C19" s="103">
        <f>B19*(1-'3_Giả định'!$C$9)+C18</f>
        <v>12</v>
      </c>
      <c r="D19" s="103">
        <f>C19*(1-'3_Giả định'!$C$9)+D18</f>
        <v>24.240000000000002</v>
      </c>
      <c r="E19" s="103">
        <f>D19*(1-'3_Giả định'!$C$9)+E18</f>
        <v>36.742800000000003</v>
      </c>
      <c r="F19" s="103">
        <f>E19*(1-'3_Giả định'!$C$9)+F18</f>
        <v>49.532015999999999</v>
      </c>
      <c r="G19" s="103">
        <f>F19*(1-'3_Giả định'!$C$9)+G18</f>
        <v>62.632130519999997</v>
      </c>
      <c r="H19" s="103">
        <f>G19*(1-'3_Giả định'!$C$9)+H18</f>
        <v>76.068545354399987</v>
      </c>
      <c r="I19" s="103">
        <f>H19*(1-'3_Giả định'!$C$9)+I18</f>
        <v>89.867636681267982</v>
      </c>
      <c r="J19" s="103">
        <f>I19*(1-'3_Giả định'!$C$9)+J18</f>
        <v>104.05681265270495</v>
      </c>
      <c r="K19" s="103">
        <f>J19*(1-'3_Giả định'!$C$9)+K18</f>
        <v>118.66457359859255</v>
      </c>
      <c r="L19" s="103">
        <f>K19*(1-'3_Giả định'!$C$9)+L18</f>
        <v>133.72057498237697</v>
      </c>
      <c r="M19" s="103">
        <f>L19*(1-'3_Giả định'!$C$9)+M18</f>
        <v>149.25569325423498</v>
      </c>
      <c r="N19" s="103">
        <f>M19*(1-'3_Giả định'!$C$9)+N18</f>
        <v>165.30209475400372</v>
      </c>
      <c r="O19" s="103">
        <f>N19*(1-'3_Giả định'!$C$9)+O18</f>
        <v>181.89330782364917</v>
      </c>
      <c r="P19" s="103">
        <f>O19*(1-'3_Giả định'!$C$9)+P18</f>
        <v>199.06429829681852</v>
      </c>
      <c r="Q19" s="103">
        <f>P19*(1-'3_Giả định'!$C$9)+Q18</f>
        <v>216.85154854118673</v>
      </c>
      <c r="R19" s="103">
        <f>Q19*(1-'3_Giả định'!$C$9)+R18</f>
        <v>235.29314023788754</v>
      </c>
      <c r="S19" s="103">
        <f>R19*(1-'3_Giả định'!$C$9)+S18</f>
        <v>254.42884109133414</v>
      </c>
      <c r="T19" s="103">
        <f>S19*(1-'3_Giả định'!$C$9)+T18</f>
        <v>274.30019567220648</v>
      </c>
      <c r="U19" s="103">
        <f>T19*(1-'3_Giả định'!$C$9)+U18</f>
        <v>294.9506206063333</v>
      </c>
      <c r="V19" s="103">
        <f>U19*(1-'3_Giả định'!$C$9)+V18</f>
        <v>316.42550433265097</v>
      </c>
      <c r="W19" s="103">
        <f>V19*(1-'3_Giả định'!$C$9)+W18</f>
        <v>338.77231166440447</v>
      </c>
      <c r="X19" s="103">
        <f>W19*(1-'3_Giả định'!$C$9)+X18</f>
        <v>362.04069339929202</v>
      </c>
      <c r="Y19" s="103">
        <f>X19*(1-'3_Giả định'!$C$9)+Y18</f>
        <v>386.28260123637392</v>
      </c>
      <c r="Z19" s="103">
        <f>Y19*(1-'3_Giả định'!$C$9)+Z18</f>
        <v>411.55240827029638</v>
      </c>
    </row>
    <row r="20" spans="1:26" ht="15" customHeight="1" x14ac:dyDescent="0.3">
      <c r="A20" s="37" t="s">
        <v>94</v>
      </c>
      <c r="B20" s="37"/>
      <c r="C20" s="104">
        <f>C19*'3_Giả định'!$C$17</f>
        <v>47640000</v>
      </c>
      <c r="D20" s="104">
        <f>D19*'3_Giả định'!$C$17</f>
        <v>96232800.000000015</v>
      </c>
      <c r="E20" s="104">
        <f>E19*'3_Giả định'!$C$17</f>
        <v>145868916</v>
      </c>
      <c r="F20" s="104">
        <f>F19*'3_Giả định'!$C$17</f>
        <v>196642103.51999998</v>
      </c>
      <c r="G20" s="104">
        <f>G19*'3_Giả định'!$C$17</f>
        <v>248649558.16439998</v>
      </c>
      <c r="H20" s="104">
        <f>H19*'3_Giả định'!$C$17</f>
        <v>301992125.05696797</v>
      </c>
      <c r="I20" s="104">
        <f>I19*'3_Giả định'!$C$17</f>
        <v>356774517.62463391</v>
      </c>
      <c r="J20" s="104">
        <f>J19*'3_Giả định'!$C$17</f>
        <v>413105546.23123866</v>
      </c>
      <c r="K20" s="104">
        <f>K19*'3_Giả định'!$C$17</f>
        <v>471098357.18641245</v>
      </c>
      <c r="L20" s="104">
        <f>L19*'3_Giả định'!$C$17</f>
        <v>530870682.6800366</v>
      </c>
      <c r="M20" s="104">
        <f>M19*'3_Giả định'!$C$17</f>
        <v>592545102.21931291</v>
      </c>
      <c r="N20" s="104">
        <f>N19*'3_Giả định'!$C$17</f>
        <v>656249316.1733948</v>
      </c>
      <c r="O20" s="104">
        <f>O19*'3_Giả định'!$C$17</f>
        <v>722116432.05988717</v>
      </c>
      <c r="P20" s="104">
        <f>P19*'3_Giả định'!$C$17</f>
        <v>790285264.23836958</v>
      </c>
      <c r="Q20" s="104">
        <f>Q19*'3_Giả định'!$C$17</f>
        <v>860900647.70851135</v>
      </c>
      <c r="R20" s="104">
        <f>R19*'3_Giả định'!$C$17</f>
        <v>934113766.7444135</v>
      </c>
      <c r="S20" s="104">
        <f>S19*'3_Giả định'!$C$17</f>
        <v>1010082499.1325965</v>
      </c>
      <c r="T20" s="104">
        <f>T19*'3_Giả định'!$C$17</f>
        <v>1088971776.8186598</v>
      </c>
      <c r="U20" s="104">
        <f>U19*'3_Giả định'!$C$17</f>
        <v>1170953963.8071432</v>
      </c>
      <c r="V20" s="104">
        <f>V19*'3_Giả định'!$C$17</f>
        <v>1256209252.2006245</v>
      </c>
      <c r="W20" s="104">
        <f>W19*'3_Giả định'!$C$17</f>
        <v>1344926077.3076859</v>
      </c>
      <c r="X20" s="104">
        <f>X19*'3_Giả định'!$C$17</f>
        <v>1437301552.7951894</v>
      </c>
      <c r="Y20" s="104">
        <f>Y19*'3_Giả định'!$C$17</f>
        <v>1533541926.9084044</v>
      </c>
      <c r="Z20" s="104">
        <f>Z19*'3_Giả định'!$C$17</f>
        <v>1633863060.8330767</v>
      </c>
    </row>
    <row r="21" spans="1:26" ht="15" customHeight="1" x14ac:dyDescent="0.3">
      <c r="A21" s="37" t="s">
        <v>401</v>
      </c>
      <c r="B21" s="37"/>
      <c r="C21" s="104">
        <f>C19*'3_Giả định'!$C$18</f>
        <v>14876345.088000001</v>
      </c>
      <c r="D21" s="104">
        <f>D19*'3_Giả định'!$C$18</f>
        <v>30050217.077760004</v>
      </c>
      <c r="E21" s="104">
        <f>E19*'3_Giả định'!$C$18</f>
        <v>45549881.024947211</v>
      </c>
      <c r="F21" s="104">
        <f>F19*'3_Giả định'!$C$18</f>
        <v>61404613.576694787</v>
      </c>
      <c r="G21" s="104">
        <f>G19*'3_Giả định'!$C$18</f>
        <v>77644765.601014748</v>
      </c>
      <c r="H21" s="104">
        <f>H19*'3_Giả định'!$C$18</f>
        <v>94301827.586186126</v>
      </c>
      <c r="I21" s="104">
        <f>I19*'3_Giả định'!$C$18</f>
        <v>111408497.95946248</v>
      </c>
      <c r="J21" s="104">
        <f>J19*'3_Giả định'!$C$18</f>
        <v>128998754.48158364</v>
      </c>
      <c r="K21" s="104">
        <f>K19*'3_Giả định'!$C$18</f>
        <v>147107928.88108641</v>
      </c>
      <c r="L21" s="104">
        <f>L19*'3_Giả định'!$C$18</f>
        <v>165772784.90030164</v>
      </c>
      <c r="M21" s="104">
        <f>M19*'3_Giả định'!$C$18</f>
        <v>185031599.9332228</v>
      </c>
      <c r="N21" s="104">
        <f>N19*'3_Giả định'!$C$18</f>
        <v>204924250.44415283</v>
      </c>
      <c r="O21" s="104">
        <f>O19*'3_Giả định'!$C$18</f>
        <v>225492301.36520129</v>
      </c>
      <c r="P21" s="104">
        <f>P19*'3_Giả định'!$C$18</f>
        <v>246779099.68033692</v>
      </c>
      <c r="Q21" s="104">
        <f>Q19*'3_Giả định'!$C$18</f>
        <v>268829872.41382307</v>
      </c>
      <c r="R21" s="104">
        <f>R19*'3_Giả định'!$C$18</f>
        <v>291691829.25149947</v>
      </c>
      <c r="S21" s="104">
        <f>S19*'3_Giả định'!$C$18</f>
        <v>315414270.03455013</v>
      </c>
      <c r="T21" s="104">
        <f>T19*'3_Giả định'!$C$18</f>
        <v>340048697.37713903</v>
      </c>
      <c r="U21" s="104">
        <f>U19*'3_Giả định'!$C$18</f>
        <v>365648934.67163152</v>
      </c>
      <c r="V21" s="104">
        <f>V19*'3_Giả định'!$C$18</f>
        <v>392271249.75807965</v>
      </c>
      <c r="W21" s="104">
        <f>W19*'3_Giả định'!$C$18</f>
        <v>419974484.54826409</v>
      </c>
      <c r="X21" s="104">
        <f>X19*'3_Giả định'!$C$18</f>
        <v>448820190.90888935</v>
      </c>
      <c r="Y21" s="104">
        <f>Y19*'3_Giả định'!$C$18</f>
        <v>478872773.12354952</v>
      </c>
      <c r="Z21" s="104">
        <f>Z19*'3_Giả định'!$C$18</f>
        <v>510199637.26886624</v>
      </c>
    </row>
    <row r="22" spans="1:26" ht="15" customHeight="1" x14ac:dyDescent="0.3">
      <c r="A22" s="37" t="s">
        <v>96</v>
      </c>
      <c r="B22" s="37"/>
      <c r="C22" s="104">
        <f t="shared" ref="C22:Z22" si="4">C20-C21</f>
        <v>32763654.912</v>
      </c>
      <c r="D22" s="104">
        <f t="shared" si="4"/>
        <v>66182582.922240011</v>
      </c>
      <c r="E22" s="104">
        <f t="shared" si="4"/>
        <v>100319034.97505279</v>
      </c>
      <c r="F22" s="104">
        <f t="shared" si="4"/>
        <v>135237489.94330519</v>
      </c>
      <c r="G22" s="104">
        <f t="shared" si="4"/>
        <v>171004792.56338525</v>
      </c>
      <c r="H22" s="104">
        <f t="shared" si="4"/>
        <v>207690297.47078186</v>
      </c>
      <c r="I22" s="104">
        <f t="shared" si="4"/>
        <v>245366019.66517144</v>
      </c>
      <c r="J22" s="104">
        <f t="shared" si="4"/>
        <v>284106791.74965501</v>
      </c>
      <c r="K22" s="104">
        <f t="shared" si="4"/>
        <v>323990428.30532604</v>
      </c>
      <c r="L22" s="104">
        <f t="shared" si="4"/>
        <v>365097897.77973497</v>
      </c>
      <c r="M22" s="104">
        <f t="shared" si="4"/>
        <v>407513502.28609014</v>
      </c>
      <c r="N22" s="104">
        <f t="shared" si="4"/>
        <v>451325065.72924197</v>
      </c>
      <c r="O22" s="104">
        <f t="shared" si="4"/>
        <v>496624130.69468588</v>
      </c>
      <c r="P22" s="104">
        <f t="shared" si="4"/>
        <v>543506164.55803263</v>
      </c>
      <c r="Q22" s="104">
        <f t="shared" si="4"/>
        <v>592070775.29468822</v>
      </c>
      <c r="R22" s="104">
        <f t="shared" si="4"/>
        <v>642421937.49291396</v>
      </c>
      <c r="S22" s="104">
        <f t="shared" si="4"/>
        <v>694668229.0980463</v>
      </c>
      <c r="T22" s="104">
        <f t="shared" si="4"/>
        <v>748923079.44152069</v>
      </c>
      <c r="U22" s="104">
        <f t="shared" si="4"/>
        <v>805305029.13551164</v>
      </c>
      <c r="V22" s="104">
        <f t="shared" si="4"/>
        <v>863938002.44254482</v>
      </c>
      <c r="W22" s="104">
        <f t="shared" si="4"/>
        <v>924951592.75942183</v>
      </c>
      <c r="X22" s="104">
        <f t="shared" si="4"/>
        <v>988481361.88630009</v>
      </c>
      <c r="Y22" s="104">
        <f t="shared" si="4"/>
        <v>1054669153.7848549</v>
      </c>
      <c r="Z22" s="104">
        <f t="shared" si="4"/>
        <v>1123663423.5642104</v>
      </c>
    </row>
    <row r="23" spans="1:26" ht="15" customHeight="1" x14ac:dyDescent="0.3">
      <c r="A23" s="37" t="s">
        <v>402</v>
      </c>
      <c r="B23" s="37"/>
      <c r="C23" s="104">
        <f>C18*'3_Giả định'!$C$10</f>
        <v>108000000</v>
      </c>
      <c r="D23" s="104">
        <f>D18*'3_Giả định'!$C$10</f>
        <v>113400000.00000001</v>
      </c>
      <c r="E23" s="104">
        <f>E18*'3_Giả định'!$C$10</f>
        <v>119070000</v>
      </c>
      <c r="F23" s="104">
        <f>F18*'3_Giả định'!$C$10</f>
        <v>125023500</v>
      </c>
      <c r="G23" s="104">
        <f>G18*'3_Giả định'!$C$10</f>
        <v>131274675.00000001</v>
      </c>
      <c r="H23" s="104">
        <f>H18*'3_Giả định'!$C$10</f>
        <v>137838408.75</v>
      </c>
      <c r="I23" s="104">
        <f>I18*'3_Giả định'!$C$10</f>
        <v>144730329.1875</v>
      </c>
      <c r="J23" s="104">
        <f>J18*'3_Giả định'!$C$10</f>
        <v>151966845.64687502</v>
      </c>
      <c r="K23" s="104">
        <f>K18*'3_Giả định'!$C$10</f>
        <v>159565187.92921877</v>
      </c>
      <c r="L23" s="104">
        <f>L18*'3_Giả định'!$C$10</f>
        <v>167543447.32567969</v>
      </c>
      <c r="M23" s="104">
        <f>M18*'3_Giả định'!$C$10</f>
        <v>175920619.6919637</v>
      </c>
      <c r="N23" s="104">
        <f>N18*'3_Giả định'!$C$10</f>
        <v>184716650.67656189</v>
      </c>
      <c r="O23" s="104">
        <f>O18*'3_Giả định'!$C$10</f>
        <v>193952483.21038997</v>
      </c>
      <c r="P23" s="104">
        <f>P18*'3_Giả định'!$C$10</f>
        <v>203650107.37090948</v>
      </c>
      <c r="Q23" s="104">
        <f>Q18*'3_Giả định'!$C$10</f>
        <v>213832612.73945493</v>
      </c>
      <c r="R23" s="104">
        <f>R18*'3_Giả định'!$C$10</f>
        <v>224524243.37642774</v>
      </c>
      <c r="S23" s="104">
        <f>S18*'3_Giả định'!$C$10</f>
        <v>235750455.5452491</v>
      </c>
      <c r="T23" s="104">
        <f>T18*'3_Giả định'!$C$10</f>
        <v>247537978.32251158</v>
      </c>
      <c r="U23" s="104">
        <f>U18*'3_Giả định'!$C$10</f>
        <v>259914877.23863715</v>
      </c>
      <c r="V23" s="104">
        <f>V18*'3_Giả định'!$C$10</f>
        <v>272910621.10056901</v>
      </c>
      <c r="W23" s="104">
        <f>W18*'3_Giả định'!$C$10</f>
        <v>286556152.15559745</v>
      </c>
      <c r="X23" s="104">
        <f>X18*'3_Giả định'!$C$10</f>
        <v>300883959.76337731</v>
      </c>
      <c r="Y23" s="104">
        <f>Y18*'3_Giả định'!$C$10</f>
        <v>315928157.75154614</v>
      </c>
      <c r="Z23" s="104">
        <f>Z18*'3_Giả định'!$C$10</f>
        <v>331724565.6391235</v>
      </c>
    </row>
    <row r="24" spans="1:26" ht="15" customHeight="1" x14ac:dyDescent="0.3">
      <c r="A24" s="37" t="s">
        <v>403</v>
      </c>
      <c r="B24" s="37"/>
      <c r="C24" s="104">
        <f>'3_Giả định'!$C$11</f>
        <v>200000000</v>
      </c>
      <c r="D24" s="104">
        <f>'3_Giả định'!$C$11</f>
        <v>200000000</v>
      </c>
      <c r="E24" s="104">
        <f>'3_Giả định'!$C$11</f>
        <v>200000000</v>
      </c>
      <c r="F24" s="104">
        <f>'3_Giả định'!$C$11</f>
        <v>200000000</v>
      </c>
      <c r="G24" s="104">
        <f>'3_Giả định'!$C$11</f>
        <v>200000000</v>
      </c>
      <c r="H24" s="104">
        <f>'3_Giả định'!$C$11</f>
        <v>200000000</v>
      </c>
      <c r="I24" s="104">
        <f>'3_Giả định'!$C$11</f>
        <v>200000000</v>
      </c>
      <c r="J24" s="104">
        <f>'3_Giả định'!$C$11</f>
        <v>200000000</v>
      </c>
      <c r="K24" s="104">
        <f>'3_Giả định'!$C$11</f>
        <v>200000000</v>
      </c>
      <c r="L24" s="104">
        <f>'3_Giả định'!$C$11</f>
        <v>200000000</v>
      </c>
      <c r="M24" s="104">
        <f>'3_Giả định'!$C$11</f>
        <v>200000000</v>
      </c>
      <c r="N24" s="104">
        <f>'3_Giả định'!$C$11</f>
        <v>200000000</v>
      </c>
      <c r="O24" s="104">
        <f>'3_Giả định'!$C$11</f>
        <v>200000000</v>
      </c>
      <c r="P24" s="104">
        <f>'3_Giả định'!$C$11</f>
        <v>200000000</v>
      </c>
      <c r="Q24" s="104">
        <f>'3_Giả định'!$C$11</f>
        <v>200000000</v>
      </c>
      <c r="R24" s="104">
        <f>'3_Giả định'!$C$11</f>
        <v>200000000</v>
      </c>
      <c r="S24" s="104">
        <f>'3_Giả định'!$C$11</f>
        <v>200000000</v>
      </c>
      <c r="T24" s="104">
        <f>'3_Giả định'!$C$11</f>
        <v>200000000</v>
      </c>
      <c r="U24" s="104">
        <f>'3_Giả định'!$C$11</f>
        <v>200000000</v>
      </c>
      <c r="V24" s="104">
        <f>'3_Giả định'!$C$11</f>
        <v>200000000</v>
      </c>
      <c r="W24" s="104">
        <f>'3_Giả định'!$C$11</f>
        <v>200000000</v>
      </c>
      <c r="X24" s="104">
        <f>'3_Giả định'!$C$11</f>
        <v>200000000</v>
      </c>
      <c r="Y24" s="104">
        <f>'3_Giả định'!$C$11</f>
        <v>200000000</v>
      </c>
      <c r="Z24" s="104">
        <f>'3_Giả định'!$C$11</f>
        <v>200000000</v>
      </c>
    </row>
    <row r="25" spans="1:26" ht="15" customHeight="1" x14ac:dyDescent="0.3">
      <c r="A25" s="37" t="s">
        <v>404</v>
      </c>
      <c r="B25" s="104">
        <f>-'3_Giả định'!$C$12</f>
        <v>-900000000</v>
      </c>
      <c r="C25" s="104">
        <f t="shared" ref="C25:Z25" si="5">C22-C23-C24</f>
        <v>-275236345.088</v>
      </c>
      <c r="D25" s="104">
        <f t="shared" si="5"/>
        <v>-247217417.07776001</v>
      </c>
      <c r="E25" s="104">
        <f t="shared" si="5"/>
        <v>-218750965.02494723</v>
      </c>
      <c r="F25" s="104">
        <f t="shared" si="5"/>
        <v>-189786010.05669481</v>
      </c>
      <c r="G25" s="104">
        <f t="shared" si="5"/>
        <v>-160269882.43661475</v>
      </c>
      <c r="H25" s="104">
        <f t="shared" si="5"/>
        <v>-130148111.27921814</v>
      </c>
      <c r="I25" s="104">
        <f t="shared" si="5"/>
        <v>-99364309.522328556</v>
      </c>
      <c r="J25" s="104">
        <f t="shared" si="5"/>
        <v>-67860053.897220016</v>
      </c>
      <c r="K25" s="104">
        <f t="shared" si="5"/>
        <v>-35574759.623892725</v>
      </c>
      <c r="L25" s="104">
        <f t="shared" si="5"/>
        <v>-2445549.5459447205</v>
      </c>
      <c r="M25" s="104">
        <f t="shared" si="5"/>
        <v>31592882.594126433</v>
      </c>
      <c r="N25" s="104">
        <f t="shared" si="5"/>
        <v>66608415.052680075</v>
      </c>
      <c r="O25" s="104">
        <f t="shared" si="5"/>
        <v>102671647.4842959</v>
      </c>
      <c r="P25" s="104">
        <f t="shared" si="5"/>
        <v>139856057.18712318</v>
      </c>
      <c r="Q25" s="104">
        <f t="shared" si="5"/>
        <v>178238162.5552333</v>
      </c>
      <c r="R25" s="104">
        <f t="shared" si="5"/>
        <v>217897694.11648619</v>
      </c>
      <c r="S25" s="104">
        <f t="shared" si="5"/>
        <v>258917773.5527972</v>
      </c>
      <c r="T25" s="104">
        <f t="shared" si="5"/>
        <v>301385101.11900914</v>
      </c>
      <c r="U25" s="104">
        <f t="shared" si="5"/>
        <v>345390151.89687443</v>
      </c>
      <c r="V25" s="104">
        <f t="shared" si="5"/>
        <v>391027381.34197581</v>
      </c>
      <c r="W25" s="104">
        <f t="shared" si="5"/>
        <v>438395440.60382438</v>
      </c>
      <c r="X25" s="104">
        <f t="shared" si="5"/>
        <v>487597402.12292278</v>
      </c>
      <c r="Y25" s="104">
        <f t="shared" si="5"/>
        <v>538740996.03330874</v>
      </c>
      <c r="Z25" s="104">
        <f t="shared" si="5"/>
        <v>591938857.92508698</v>
      </c>
    </row>
    <row r="26" spans="1:26" ht="15" customHeight="1" x14ac:dyDescent="0.3">
      <c r="A26" s="37" t="s">
        <v>405</v>
      </c>
      <c r="B26" s="104">
        <f>'3_Giả định'!$C$13+B25</f>
        <v>1600000000</v>
      </c>
      <c r="C26" s="104">
        <f t="shared" ref="C26:Z26" si="6">B26+C25</f>
        <v>1324763654.9119999</v>
      </c>
      <c r="D26" s="104">
        <f t="shared" si="6"/>
        <v>1077546237.83424</v>
      </c>
      <c r="E26" s="104">
        <f t="shared" si="6"/>
        <v>858795272.80929279</v>
      </c>
      <c r="F26" s="104">
        <f t="shared" si="6"/>
        <v>669009262.75259805</v>
      </c>
      <c r="G26" s="104">
        <f t="shared" si="6"/>
        <v>508739380.3159833</v>
      </c>
      <c r="H26" s="104">
        <f t="shared" si="6"/>
        <v>378591269.03676516</v>
      </c>
      <c r="I26" s="104">
        <f t="shared" si="6"/>
        <v>279226959.5144366</v>
      </c>
      <c r="J26" s="104">
        <f t="shared" si="6"/>
        <v>211366905.61721659</v>
      </c>
      <c r="K26" s="104">
        <f t="shared" si="6"/>
        <v>175792145.99332386</v>
      </c>
      <c r="L26" s="104">
        <f t="shared" si="6"/>
        <v>173346596.44737914</v>
      </c>
      <c r="M26" s="104">
        <f t="shared" si="6"/>
        <v>204939479.04150558</v>
      </c>
      <c r="N26" s="104">
        <f t="shared" si="6"/>
        <v>271547894.09418565</v>
      </c>
      <c r="O26" s="104">
        <f t="shared" si="6"/>
        <v>374219541.57848155</v>
      </c>
      <c r="P26" s="104">
        <f t="shared" si="6"/>
        <v>514075598.76560473</v>
      </c>
      <c r="Q26" s="104">
        <f t="shared" si="6"/>
        <v>692313761.32083797</v>
      </c>
      <c r="R26" s="104">
        <f t="shared" si="6"/>
        <v>910211455.43732417</v>
      </c>
      <c r="S26" s="104">
        <f t="shared" si="6"/>
        <v>1169129228.9901214</v>
      </c>
      <c r="T26" s="104">
        <f t="shared" si="6"/>
        <v>1470514330.1091304</v>
      </c>
      <c r="U26" s="104">
        <f t="shared" si="6"/>
        <v>1815904482.0060048</v>
      </c>
      <c r="V26" s="104">
        <f t="shared" si="6"/>
        <v>2206931863.3479805</v>
      </c>
      <c r="W26" s="104">
        <f t="shared" si="6"/>
        <v>2645327303.9518051</v>
      </c>
      <c r="X26" s="104">
        <f t="shared" si="6"/>
        <v>3132924706.074728</v>
      </c>
      <c r="Y26" s="104">
        <f t="shared" si="6"/>
        <v>3671665702.108037</v>
      </c>
      <c r="Z26" s="104">
        <f t="shared" si="6"/>
        <v>4263604560.033124</v>
      </c>
    </row>
    <row r="27" spans="1:26" ht="15" customHeight="1" x14ac:dyDescent="0.3">
      <c r="A27" s="37" t="s">
        <v>406</v>
      </c>
      <c r="B27" s="104">
        <f>B25</f>
        <v>-900000000</v>
      </c>
      <c r="C27" s="104">
        <f t="shared" ref="C27:Z27" si="7">B27+C25</f>
        <v>-1175236345.0880001</v>
      </c>
      <c r="D27" s="104">
        <f t="shared" si="7"/>
        <v>-1422453762.16576</v>
      </c>
      <c r="E27" s="104">
        <f t="shared" si="7"/>
        <v>-1641204727.1907072</v>
      </c>
      <c r="F27" s="104">
        <f t="shared" si="7"/>
        <v>-1830990737.247402</v>
      </c>
      <c r="G27" s="104">
        <f t="shared" si="7"/>
        <v>-1991260619.6840167</v>
      </c>
      <c r="H27" s="104">
        <f t="shared" si="7"/>
        <v>-2121408730.9632349</v>
      </c>
      <c r="I27" s="104">
        <f t="shared" si="7"/>
        <v>-2220773040.4855633</v>
      </c>
      <c r="J27" s="104">
        <f t="shared" si="7"/>
        <v>-2288633094.3827834</v>
      </c>
      <c r="K27" s="104">
        <f t="shared" si="7"/>
        <v>-2324207854.0066762</v>
      </c>
      <c r="L27" s="104">
        <f t="shared" si="7"/>
        <v>-2326653403.5526209</v>
      </c>
      <c r="M27" s="104">
        <f t="shared" si="7"/>
        <v>-2295060520.9584947</v>
      </c>
      <c r="N27" s="104">
        <f t="shared" si="7"/>
        <v>-2228452105.9058146</v>
      </c>
      <c r="O27" s="104">
        <f t="shared" si="7"/>
        <v>-2125780458.4215188</v>
      </c>
      <c r="P27" s="104">
        <f t="shared" si="7"/>
        <v>-1985924401.2343955</v>
      </c>
      <c r="Q27" s="104">
        <f t="shared" si="7"/>
        <v>-1807686238.6791623</v>
      </c>
      <c r="R27" s="104">
        <f t="shared" si="7"/>
        <v>-1589788544.562676</v>
      </c>
      <c r="S27" s="104">
        <f t="shared" si="7"/>
        <v>-1330870771.0098786</v>
      </c>
      <c r="T27" s="104">
        <f t="shared" si="7"/>
        <v>-1029485669.8908695</v>
      </c>
      <c r="U27" s="104">
        <f t="shared" si="7"/>
        <v>-684095517.99399507</v>
      </c>
      <c r="V27" s="104">
        <f t="shared" si="7"/>
        <v>-293068136.65201926</v>
      </c>
      <c r="W27" s="104">
        <f t="shared" si="7"/>
        <v>145327303.95180511</v>
      </c>
      <c r="X27" s="104">
        <f t="shared" si="7"/>
        <v>632924706.07472789</v>
      </c>
      <c r="Y27" s="104">
        <f t="shared" si="7"/>
        <v>1171665702.1080365</v>
      </c>
      <c r="Z27" s="104">
        <f t="shared" si="7"/>
        <v>1763604560.0331235</v>
      </c>
    </row>
    <row r="29" spans="1:26" ht="15" customHeight="1" x14ac:dyDescent="0.3">
      <c r="A29" s="102" t="s">
        <v>408</v>
      </c>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spans="1:26" ht="15" customHeight="1" x14ac:dyDescent="0.3">
      <c r="A30" s="37" t="s">
        <v>399</v>
      </c>
      <c r="B30" s="37"/>
      <c r="C30" s="103">
        <f>'3_Giả định'!$D$7*(1+'3_Giả định'!$D$8)^0</f>
        <v>6</v>
      </c>
      <c r="D30" s="103">
        <f>'3_Giả định'!$D$7*(1+'3_Giả định'!$D$8)^1</f>
        <v>6.12</v>
      </c>
      <c r="E30" s="103">
        <f>'3_Giả định'!$D$7*(1+'3_Giả định'!$D$8)^2</f>
        <v>6.2423999999999999</v>
      </c>
      <c r="F30" s="103">
        <f>'3_Giả định'!$D$7*(1+'3_Giả định'!$D$8)^3</f>
        <v>6.367248</v>
      </c>
      <c r="G30" s="103">
        <f>'3_Giả định'!$D$7*(1+'3_Giả định'!$D$8)^4</f>
        <v>6.4945929600000003</v>
      </c>
      <c r="H30" s="103">
        <f>'3_Giả định'!$D$7*(1+'3_Giả định'!$D$8)^5</f>
        <v>6.6244848192000001</v>
      </c>
      <c r="I30" s="103">
        <f>'3_Giả định'!$D$7*(1+'3_Giả định'!$D$8)^6</f>
        <v>6.756974515584</v>
      </c>
      <c r="J30" s="103">
        <f>'3_Giả định'!$D$7*(1+'3_Giả định'!$D$8)^7</f>
        <v>6.8921140058956789</v>
      </c>
      <c r="K30" s="103">
        <f>'3_Giả định'!$D$7*(1+'3_Giả định'!$D$8)^8</f>
        <v>7.0299562860135936</v>
      </c>
      <c r="L30" s="103">
        <f>'3_Giả định'!$D$7*(1+'3_Giả định'!$D$8)^9</f>
        <v>7.170555411733865</v>
      </c>
      <c r="M30" s="103">
        <f>'3_Giả định'!$D$7*(1+'3_Giả định'!$D$8)^10</f>
        <v>7.3139665199685426</v>
      </c>
      <c r="N30" s="103">
        <f>'3_Giả định'!$D$7*(1+'3_Giả định'!$D$8)^11</f>
        <v>7.4602458503679117</v>
      </c>
      <c r="O30" s="103">
        <f>'3_Giả định'!$D$7*(1+'3_Giả định'!$D$8)^12</f>
        <v>7.6094507673752716</v>
      </c>
      <c r="P30" s="103">
        <f>'3_Giả định'!$D$7*(1+'3_Giả định'!$D$8)^13</f>
        <v>7.7616397827227761</v>
      </c>
      <c r="Q30" s="103">
        <f>'3_Giả định'!$D$7*(1+'3_Giả định'!$D$8)^14</f>
        <v>7.9168725783772329</v>
      </c>
      <c r="R30" s="103">
        <f>'3_Giả định'!$D$7*(1+'3_Giả định'!$D$8)^15</f>
        <v>8.0752100299447758</v>
      </c>
      <c r="S30" s="103">
        <f>'3_Giả định'!$D$7*(1+'3_Giả định'!$D$8)^16</f>
        <v>8.2367142305436722</v>
      </c>
      <c r="T30" s="103">
        <f>'3_Giả định'!$D$7*(1+'3_Giả định'!$D$8)^17</f>
        <v>8.4014485151545468</v>
      </c>
      <c r="U30" s="103">
        <f>'3_Giả định'!$D$7*(1+'3_Giả định'!$D$8)^18</f>
        <v>8.5694774854576359</v>
      </c>
      <c r="V30" s="103">
        <f>'3_Giả định'!$D$7*(1+'3_Giả định'!$D$8)^19</f>
        <v>8.7408670351667883</v>
      </c>
      <c r="W30" s="103">
        <f>'3_Giả định'!$D$7*(1+'3_Giả định'!$D$8)^20</f>
        <v>8.915684375870125</v>
      </c>
      <c r="X30" s="103">
        <f>'3_Giả định'!$D$7*(1+'3_Giả định'!$D$8)^21</f>
        <v>9.0939980633875273</v>
      </c>
      <c r="Y30" s="103">
        <f>'3_Giả định'!$D$7*(1+'3_Giả định'!$D$8)^22</f>
        <v>9.2758780246552774</v>
      </c>
      <c r="Z30" s="103">
        <f>'3_Giả định'!$D$7*(1+'3_Giả định'!$D$8)^23</f>
        <v>9.4613955851483826</v>
      </c>
    </row>
    <row r="31" spans="1:26" ht="15" customHeight="1" x14ac:dyDescent="0.3">
      <c r="A31" s="37" t="s">
        <v>400</v>
      </c>
      <c r="B31" s="37">
        <v>0</v>
      </c>
      <c r="C31" s="103">
        <f>B31*(1-'3_Giả định'!$D$9)+C30</f>
        <v>6</v>
      </c>
      <c r="D31" s="103">
        <f>C31*(1-'3_Giả định'!$D$9)+D30</f>
        <v>11.832000000000001</v>
      </c>
      <c r="E31" s="103">
        <f>D31*(1-'3_Giả định'!$D$9)+E30</f>
        <v>17.506464000000001</v>
      </c>
      <c r="F31" s="103">
        <f>E31*(1-'3_Giả định'!$D$9)+F30</f>
        <v>23.033401728000001</v>
      </c>
      <c r="G31" s="103">
        <f>F31*(1-'3_Giả định'!$D$9)+G30</f>
        <v>28.422391405055997</v>
      </c>
      <c r="H31" s="103">
        <f>G31*(1-'3_Giả định'!$D$9)+H30</f>
        <v>33.682601436813307</v>
      </c>
      <c r="I31" s="103">
        <f>H31*(1-'3_Giả định'!$D$9)+I30</f>
        <v>38.822811083430267</v>
      </c>
      <c r="J31" s="103">
        <f>I31*(1-'3_Giả định'!$D$9)+J30</f>
        <v>43.851430157321289</v>
      </c>
      <c r="K31" s="103">
        <f>J31*(1-'3_Giả định'!$D$9)+K30</f>
        <v>48.776517795783462</v>
      </c>
      <c r="L31" s="103">
        <f>K31*(1-'3_Giả định'!$D$9)+L30</f>
        <v>53.605800353319722</v>
      </c>
      <c r="M31" s="103">
        <f>L31*(1-'3_Giả định'!$D$9)+M30</f>
        <v>58.34668845632892</v>
      </c>
      <c r="N31" s="103">
        <f>M31*(1-'3_Giả định'!$D$9)+N30</f>
        <v>63.006293260793043</v>
      </c>
      <c r="O31" s="103">
        <f>N31*(1-'3_Giả định'!$D$9)+O30</f>
        <v>67.591441951650239</v>
      </c>
      <c r="P31" s="103">
        <f>O31*(1-'3_Giả định'!$D$9)+P30</f>
        <v>72.108692520693808</v>
      </c>
      <c r="Q31" s="103">
        <f>P31*(1-'3_Giả định'!$D$9)+Q30</f>
        <v>76.564347858077738</v>
      </c>
      <c r="R31" s="103">
        <f>Q31*(1-'3_Giả định'!$D$9)+R30</f>
        <v>80.964469190834777</v>
      </c>
      <c r="S31" s="103">
        <f>R31*(1-'3_Giả định'!$D$9)+S30</f>
        <v>85.314888900218378</v>
      </c>
      <c r="T31" s="103">
        <f>S31*(1-'3_Giả định'!$D$9)+T30</f>
        <v>89.621222748162438</v>
      </c>
      <c r="U31" s="103">
        <f>T31*(1-'3_Giả định'!$D$9)+U30</f>
        <v>93.888881541708272</v>
      </c>
      <c r="V31" s="103">
        <f>U31*(1-'3_Giả định'!$D$9)+V30</f>
        <v>98.123082262873055</v>
      </c>
      <c r="W31" s="103">
        <f>V31*(1-'3_Giả định'!$D$9)+W30</f>
        <v>102.32885869012527</v>
      </c>
      <c r="X31" s="103">
        <f>W31*(1-'3_Giả định'!$D$9)+X30</f>
        <v>106.51107153638678</v>
      </c>
      <c r="Y31" s="103">
        <f>X31*(1-'3_Giả định'!$D$9)+Y30</f>
        <v>110.6744181272955</v>
      </c>
      <c r="Z31" s="103">
        <f>Y31*(1-'3_Giả định'!$D$9)+Z30</f>
        <v>114.82344164233369</v>
      </c>
    </row>
    <row r="32" spans="1:26" ht="15" customHeight="1" x14ac:dyDescent="0.3">
      <c r="A32" s="37" t="s">
        <v>94</v>
      </c>
      <c r="B32" s="37"/>
      <c r="C32" s="104">
        <f>C31*'3_Giả định'!$D$17</f>
        <v>19056000</v>
      </c>
      <c r="D32" s="104">
        <f>D31*'3_Giả định'!$D$17</f>
        <v>37578432</v>
      </c>
      <c r="E32" s="104">
        <f>E31*'3_Giả định'!$D$17</f>
        <v>55600529.664000005</v>
      </c>
      <c r="F32" s="104">
        <f>F31*'3_Giả định'!$D$17</f>
        <v>73154083.888127998</v>
      </c>
      <c r="G32" s="104">
        <f>G31*'3_Giả định'!$D$17</f>
        <v>90269515.102457851</v>
      </c>
      <c r="H32" s="104">
        <f>H31*'3_Giả định'!$D$17</f>
        <v>106975942.16331907</v>
      </c>
      <c r="I32" s="104">
        <f>I31*'3_Giả định'!$D$17</f>
        <v>123301248.00097452</v>
      </c>
      <c r="J32" s="104">
        <f>J31*'3_Giả định'!$D$17</f>
        <v>139272142.17965242</v>
      </c>
      <c r="K32" s="104">
        <f>K31*'3_Giả định'!$D$17</f>
        <v>154914220.51940829</v>
      </c>
      <c r="L32" s="104">
        <f>L31*'3_Giả định'!$D$17</f>
        <v>170252021.92214343</v>
      </c>
      <c r="M32" s="104">
        <f>M31*'3_Giả định'!$D$17</f>
        <v>185309082.53730065</v>
      </c>
      <c r="N32" s="104">
        <f>N31*'3_Giả định'!$D$17</f>
        <v>200107987.39627871</v>
      </c>
      <c r="O32" s="104">
        <f>O31*'3_Giả định'!$D$17</f>
        <v>214670419.63844115</v>
      </c>
      <c r="P32" s="104">
        <f>P31*'3_Giả định'!$D$17</f>
        <v>229017207.44572353</v>
      </c>
      <c r="Q32" s="104">
        <f>Q31*'3_Giả định'!$D$17</f>
        <v>243168368.79725489</v>
      </c>
      <c r="R32" s="104">
        <f>R31*'3_Giả định'!$D$17</f>
        <v>257143154.15009126</v>
      </c>
      <c r="S32" s="104">
        <f>S31*'3_Giả định'!$D$17</f>
        <v>270960087.14709359</v>
      </c>
      <c r="T32" s="104">
        <f>T31*'3_Giả định'!$D$17</f>
        <v>284637003.44816393</v>
      </c>
      <c r="U32" s="104">
        <f>U31*'3_Giả định'!$D$17</f>
        <v>298191087.77646548</v>
      </c>
      <c r="V32" s="104">
        <f>V31*'3_Giả định'!$D$17</f>
        <v>311638909.2668848</v>
      </c>
      <c r="W32" s="104">
        <f>W31*'3_Giả định'!$D$17</f>
        <v>324996455.19983786</v>
      </c>
      <c r="X32" s="104">
        <f>X31*'3_Giả định'!$D$17</f>
        <v>338279163.1995644</v>
      </c>
      <c r="Y32" s="104">
        <f>Y31*'3_Giả định'!$D$17</f>
        <v>351501951.97229052</v>
      </c>
      <c r="Z32" s="104">
        <f>Z31*'3_Giả định'!$D$17</f>
        <v>364679250.65605181</v>
      </c>
    </row>
    <row r="33" spans="1:26" ht="15" customHeight="1" x14ac:dyDescent="0.3">
      <c r="A33" s="37" t="s">
        <v>401</v>
      </c>
      <c r="B33" s="37"/>
      <c r="C33" s="104">
        <f>C31*'3_Giả định'!$D$18</f>
        <v>8925807.0528000016</v>
      </c>
      <c r="D33" s="104">
        <f>D31*'3_Giả định'!$D$18</f>
        <v>17601691.508121602</v>
      </c>
      <c r="E33" s="104">
        <f>E31*'3_Giả định'!$D$18</f>
        <v>26043219.973464888</v>
      </c>
      <c r="F33" s="104">
        <f>F31*'3_Giả định'!$D$18</f>
        <v>34265283.265626356</v>
      </c>
      <c r="G33" s="104">
        <f>G31*'3_Giả định'!$D$18</f>
        <v>42282130.276781827</v>
      </c>
      <c r="H33" s="104">
        <f>H31*'3_Giả định'!$D$18</f>
        <v>50107400.243559942</v>
      </c>
      <c r="I33" s="104">
        <f>I31*'3_Giả định'!$D$18</f>
        <v>57754153.496333987</v>
      </c>
      <c r="J33" s="104">
        <f>J31*'3_Giả định'!$D$18</f>
        <v>65234900.76226417</v>
      </c>
      <c r="K33" s="104">
        <f>K31*'3_Giả định'!$D$18</f>
        <v>72561631.092104793</v>
      </c>
      <c r="L33" s="104">
        <f>L31*'3_Giả định'!$D$18</f>
        <v>79745838.477441669</v>
      </c>
      <c r="M33" s="104">
        <f>M31*'3_Giả định'!$D$18</f>
        <v>86798547.221837521</v>
      </c>
      <c r="N33" s="104">
        <f>N31*'3_Giả định'!$D$18</f>
        <v>93730336.126328617</v>
      </c>
      <c r="O33" s="104">
        <f>O31*'3_Giả định'!$D$18</f>
        <v>100551361.54682693</v>
      </c>
      <c r="P33" s="104">
        <f>P31*'3_Giả định'!$D$18</f>
        <v>107271379.37823258</v>
      </c>
      <c r="Q33" s="104">
        <f>Q31*'3_Giả định'!$D$18</f>
        <v>113899766.01744382</v>
      </c>
      <c r="R33" s="104">
        <f>R31*'3_Giả định'!$D$18</f>
        <v>120445538.35496025</v>
      </c>
      <c r="S33" s="104">
        <f>S31*'3_Giả định'!$D$18</f>
        <v>126917372.84240295</v>
      </c>
      <c r="T33" s="104">
        <f>T31*'3_Giả định'!$D$18</f>
        <v>133323623.68101802</v>
      </c>
      <c r="U33" s="104">
        <f>U31*'3_Giả định'!$D$18</f>
        <v>139672340.17408058</v>
      </c>
      <c r="V33" s="104">
        <f>V31*'3_Giả định'!$D$18</f>
        <v>145971283.28407118</v>
      </c>
      <c r="W33" s="104">
        <f>W31*'3_Giả định'!$D$18</f>
        <v>152227941.43354914</v>
      </c>
      <c r="X33" s="104">
        <f>X31*'3_Giả định'!$D$18</f>
        <v>158449545.58679444</v>
      </c>
      <c r="Y33" s="104">
        <f>Y31*'3_Giả định'!$D$18</f>
        <v>164643083.64752507</v>
      </c>
      <c r="Z33" s="104">
        <f>Z31*'3_Giả định'!$D$18</f>
        <v>170815314.20631856</v>
      </c>
    </row>
    <row r="34" spans="1:26" ht="15" customHeight="1" x14ac:dyDescent="0.3">
      <c r="A34" s="37" t="s">
        <v>96</v>
      </c>
      <c r="B34" s="37"/>
      <c r="C34" s="104">
        <f t="shared" ref="C34:Z34" si="8">C32-C33</f>
        <v>10130192.947199998</v>
      </c>
      <c r="D34" s="104">
        <f t="shared" si="8"/>
        <v>19976740.491878398</v>
      </c>
      <c r="E34" s="104">
        <f t="shared" si="8"/>
        <v>29557309.690535117</v>
      </c>
      <c r="F34" s="104">
        <f t="shared" si="8"/>
        <v>38888800.622501642</v>
      </c>
      <c r="G34" s="104">
        <f t="shared" si="8"/>
        <v>47987384.825676024</v>
      </c>
      <c r="H34" s="104">
        <f t="shared" si="8"/>
        <v>56868541.919759125</v>
      </c>
      <c r="I34" s="104">
        <f t="shared" si="8"/>
        <v>65547094.504640535</v>
      </c>
      <c r="J34" s="104">
        <f t="shared" si="8"/>
        <v>74037241.41738826</v>
      </c>
      <c r="K34" s="104">
        <f t="shared" si="8"/>
        <v>82352589.427303493</v>
      </c>
      <c r="L34" s="104">
        <f t="shared" si="8"/>
        <v>90506183.444701761</v>
      </c>
      <c r="M34" s="104">
        <f t="shared" si="8"/>
        <v>98510535.315463126</v>
      </c>
      <c r="N34" s="104">
        <f t="shared" si="8"/>
        <v>106377651.26995009</v>
      </c>
      <c r="O34" s="104">
        <f t="shared" si="8"/>
        <v>114119058.09161422</v>
      </c>
      <c r="P34" s="104">
        <f t="shared" si="8"/>
        <v>121745828.06749095</v>
      </c>
      <c r="Q34" s="104">
        <f t="shared" si="8"/>
        <v>129268602.77981107</v>
      </c>
      <c r="R34" s="104">
        <f t="shared" si="8"/>
        <v>136697615.79513103</v>
      </c>
      <c r="S34" s="104">
        <f t="shared" si="8"/>
        <v>144042714.30469066</v>
      </c>
      <c r="T34" s="104">
        <f t="shared" si="8"/>
        <v>151313379.7671459</v>
      </c>
      <c r="U34" s="104">
        <f t="shared" si="8"/>
        <v>158518747.6023849</v>
      </c>
      <c r="V34" s="104">
        <f t="shared" si="8"/>
        <v>165667625.98281363</v>
      </c>
      <c r="W34" s="104">
        <f t="shared" si="8"/>
        <v>172768513.76628873</v>
      </c>
      <c r="X34" s="104">
        <f t="shared" si="8"/>
        <v>179829617.61276996</v>
      </c>
      <c r="Y34" s="104">
        <f t="shared" si="8"/>
        <v>186858868.32476544</v>
      </c>
      <c r="Z34" s="104">
        <f t="shared" si="8"/>
        <v>193863936.44973326</v>
      </c>
    </row>
    <row r="35" spans="1:26" ht="15" customHeight="1" x14ac:dyDescent="0.3">
      <c r="A35" s="37" t="s">
        <v>402</v>
      </c>
      <c r="B35" s="37"/>
      <c r="C35" s="104">
        <f>C30*'3_Giả định'!$D$10</f>
        <v>81000000</v>
      </c>
      <c r="D35" s="104">
        <f>D30*'3_Giả định'!$D$10</f>
        <v>82620000</v>
      </c>
      <c r="E35" s="104">
        <f>E30*'3_Giả định'!$D$10</f>
        <v>84272400</v>
      </c>
      <c r="F35" s="104">
        <f>F30*'3_Giả định'!$D$10</f>
        <v>85957848</v>
      </c>
      <c r="G35" s="104">
        <f>G30*'3_Giả định'!$D$10</f>
        <v>87677004.960000008</v>
      </c>
      <c r="H35" s="104">
        <f>H30*'3_Giả định'!$D$10</f>
        <v>89430545.059200004</v>
      </c>
      <c r="I35" s="104">
        <f>I30*'3_Giả định'!$D$10</f>
        <v>91219155.960383996</v>
      </c>
      <c r="J35" s="104">
        <f>J30*'3_Giả định'!$D$10</f>
        <v>93043539.079591662</v>
      </c>
      <c r="K35" s="104">
        <f>K30*'3_Giả định'!$D$10</f>
        <v>94904409.861183509</v>
      </c>
      <c r="L35" s="104">
        <f>L30*'3_Giả định'!$D$10</f>
        <v>96802498.058407173</v>
      </c>
      <c r="M35" s="104">
        <f>M30*'3_Giả định'!$D$10</f>
        <v>98738548.019575328</v>
      </c>
      <c r="N35" s="104">
        <f>N30*'3_Giả định'!$D$10</f>
        <v>100713318.9799668</v>
      </c>
      <c r="O35" s="104">
        <f>O30*'3_Giả định'!$D$10</f>
        <v>102727585.35956617</v>
      </c>
      <c r="P35" s="104">
        <f>P30*'3_Giả định'!$D$10</f>
        <v>104782137.06675747</v>
      </c>
      <c r="Q35" s="104">
        <f>Q30*'3_Giả định'!$D$10</f>
        <v>106877779.80809264</v>
      </c>
      <c r="R35" s="104">
        <f>R30*'3_Giả định'!$D$10</f>
        <v>109015335.40425447</v>
      </c>
      <c r="S35" s="104">
        <f>S30*'3_Giả định'!$D$10</f>
        <v>111195642.11233957</v>
      </c>
      <c r="T35" s="104">
        <f>T30*'3_Giả định'!$D$10</f>
        <v>113419554.95458639</v>
      </c>
      <c r="U35" s="104">
        <f>U30*'3_Giả định'!$D$10</f>
        <v>115687946.05367808</v>
      </c>
      <c r="V35" s="104">
        <f>V30*'3_Giả định'!$D$10</f>
        <v>118001704.97475164</v>
      </c>
      <c r="W35" s="104">
        <f>W30*'3_Giả định'!$D$10</f>
        <v>120361739.07424669</v>
      </c>
      <c r="X35" s="104">
        <f>X30*'3_Giả định'!$D$10</f>
        <v>122768973.85573162</v>
      </c>
      <c r="Y35" s="104">
        <f>Y30*'3_Giả định'!$D$10</f>
        <v>125224353.33284624</v>
      </c>
      <c r="Z35" s="104">
        <f>Z30*'3_Giả định'!$D$10</f>
        <v>127728840.39950317</v>
      </c>
    </row>
    <row r="36" spans="1:26" ht="15" customHeight="1" x14ac:dyDescent="0.3">
      <c r="A36" s="37" t="s">
        <v>403</v>
      </c>
      <c r="B36" s="37"/>
      <c r="C36" s="104">
        <f>'3_Giả định'!$D$11</f>
        <v>200000000</v>
      </c>
      <c r="D36" s="104">
        <f>'3_Giả định'!$D$11</f>
        <v>200000000</v>
      </c>
      <c r="E36" s="104">
        <f>'3_Giả định'!$D$11</f>
        <v>200000000</v>
      </c>
      <c r="F36" s="104">
        <f>'3_Giả định'!$D$11</f>
        <v>200000000</v>
      </c>
      <c r="G36" s="104">
        <f>'3_Giả định'!$D$11</f>
        <v>200000000</v>
      </c>
      <c r="H36" s="104">
        <f>'3_Giả định'!$D$11</f>
        <v>200000000</v>
      </c>
      <c r="I36" s="104">
        <f>'3_Giả định'!$D$11</f>
        <v>200000000</v>
      </c>
      <c r="J36" s="104">
        <f>'3_Giả định'!$D$11</f>
        <v>200000000</v>
      </c>
      <c r="K36" s="104">
        <f>'3_Giả định'!$D$11</f>
        <v>200000000</v>
      </c>
      <c r="L36" s="104">
        <f>'3_Giả định'!$D$11</f>
        <v>200000000</v>
      </c>
      <c r="M36" s="104">
        <f>'3_Giả định'!$D$11</f>
        <v>200000000</v>
      </c>
      <c r="N36" s="104">
        <f>'3_Giả định'!$D$11</f>
        <v>200000000</v>
      </c>
      <c r="O36" s="104">
        <f>'3_Giả định'!$D$11</f>
        <v>200000000</v>
      </c>
      <c r="P36" s="104">
        <f>'3_Giả định'!$D$11</f>
        <v>200000000</v>
      </c>
      <c r="Q36" s="104">
        <f>'3_Giả định'!$D$11</f>
        <v>200000000</v>
      </c>
      <c r="R36" s="104">
        <f>'3_Giả định'!$D$11</f>
        <v>200000000</v>
      </c>
      <c r="S36" s="104">
        <f>'3_Giả định'!$D$11</f>
        <v>200000000</v>
      </c>
      <c r="T36" s="104">
        <f>'3_Giả định'!$D$11</f>
        <v>200000000</v>
      </c>
      <c r="U36" s="104">
        <f>'3_Giả định'!$D$11</f>
        <v>200000000</v>
      </c>
      <c r="V36" s="104">
        <f>'3_Giả định'!$D$11</f>
        <v>200000000</v>
      </c>
      <c r="W36" s="104">
        <f>'3_Giả định'!$D$11</f>
        <v>200000000</v>
      </c>
      <c r="X36" s="104">
        <f>'3_Giả định'!$D$11</f>
        <v>200000000</v>
      </c>
      <c r="Y36" s="104">
        <f>'3_Giả định'!$D$11</f>
        <v>200000000</v>
      </c>
      <c r="Z36" s="104">
        <f>'3_Giả định'!$D$11</f>
        <v>200000000</v>
      </c>
    </row>
    <row r="37" spans="1:26" ht="15" customHeight="1" x14ac:dyDescent="0.3">
      <c r="A37" s="37" t="s">
        <v>404</v>
      </c>
      <c r="B37" s="104">
        <f>-'3_Giả định'!$D$12</f>
        <v>-900000000</v>
      </c>
      <c r="C37" s="104">
        <f t="shared" ref="C37:Z37" si="9">C34-C35-C36</f>
        <v>-270869807.0528</v>
      </c>
      <c r="D37" s="104">
        <f t="shared" si="9"/>
        <v>-262643259.50812161</v>
      </c>
      <c r="E37" s="104">
        <f t="shared" si="9"/>
        <v>-254715090.30946487</v>
      </c>
      <c r="F37" s="104">
        <f t="shared" si="9"/>
        <v>-247069047.37749836</v>
      </c>
      <c r="G37" s="104">
        <f t="shared" si="9"/>
        <v>-239689620.13432398</v>
      </c>
      <c r="H37" s="104">
        <f t="shared" si="9"/>
        <v>-232562003.13944089</v>
      </c>
      <c r="I37" s="104">
        <f t="shared" si="9"/>
        <v>-225672061.45574346</v>
      </c>
      <c r="J37" s="104">
        <f t="shared" si="9"/>
        <v>-219006297.6622034</v>
      </c>
      <c r="K37" s="104">
        <f t="shared" si="9"/>
        <v>-212551820.43388003</v>
      </c>
      <c r="L37" s="104">
        <f t="shared" si="9"/>
        <v>-206296314.6137054</v>
      </c>
      <c r="M37" s="104">
        <f t="shared" si="9"/>
        <v>-200228012.7041122</v>
      </c>
      <c r="N37" s="104">
        <f t="shared" si="9"/>
        <v>-194335667.71001673</v>
      </c>
      <c r="O37" s="104">
        <f t="shared" si="9"/>
        <v>-188608527.26795197</v>
      </c>
      <c r="P37" s="104">
        <f t="shared" si="9"/>
        <v>-183036308.99926651</v>
      </c>
      <c r="Q37" s="104">
        <f t="shared" si="9"/>
        <v>-177609177.02828157</v>
      </c>
      <c r="R37" s="104">
        <f t="shared" si="9"/>
        <v>-172317719.60912344</v>
      </c>
      <c r="S37" s="104">
        <f t="shared" si="9"/>
        <v>-167152927.8076489</v>
      </c>
      <c r="T37" s="104">
        <f t="shared" si="9"/>
        <v>-162106175.18744048</v>
      </c>
      <c r="U37" s="104">
        <f t="shared" si="9"/>
        <v>-157169198.45129317</v>
      </c>
      <c r="V37" s="104">
        <f t="shared" si="9"/>
        <v>-152334078.99193799</v>
      </c>
      <c r="W37" s="104">
        <f t="shared" si="9"/>
        <v>-147593225.30795795</v>
      </c>
      <c r="X37" s="104">
        <f t="shared" si="9"/>
        <v>-142939356.24296165</v>
      </c>
      <c r="Y37" s="104">
        <f t="shared" si="9"/>
        <v>-138365485.00808078</v>
      </c>
      <c r="Z37" s="104">
        <f t="shared" si="9"/>
        <v>-133864903.94976991</v>
      </c>
    </row>
    <row r="38" spans="1:26" ht="15" customHeight="1" x14ac:dyDescent="0.3">
      <c r="A38" s="37" t="s">
        <v>405</v>
      </c>
      <c r="B38" s="104">
        <f>'3_Giả định'!$D$13+B37</f>
        <v>1600000000</v>
      </c>
      <c r="C38" s="104">
        <f t="shared" ref="C38:Z38" si="10">B38+C37</f>
        <v>1329130192.9472001</v>
      </c>
      <c r="D38" s="104">
        <f t="shared" si="10"/>
        <v>1066486933.4390785</v>
      </c>
      <c r="E38" s="104">
        <f t="shared" si="10"/>
        <v>811771843.12961364</v>
      </c>
      <c r="F38" s="104">
        <f t="shared" si="10"/>
        <v>564702795.75211525</v>
      </c>
      <c r="G38" s="104">
        <f t="shared" si="10"/>
        <v>325013175.6177913</v>
      </c>
      <c r="H38" s="104">
        <f t="shared" si="10"/>
        <v>92451172.478350401</v>
      </c>
      <c r="I38" s="104">
        <f t="shared" si="10"/>
        <v>-133220888.97739306</v>
      </c>
      <c r="J38" s="104">
        <f t="shared" si="10"/>
        <v>-352227186.63959646</v>
      </c>
      <c r="K38" s="104">
        <f t="shared" si="10"/>
        <v>-564779007.07347655</v>
      </c>
      <c r="L38" s="104">
        <f t="shared" si="10"/>
        <v>-771075321.68718195</v>
      </c>
      <c r="M38" s="104">
        <f t="shared" si="10"/>
        <v>-971303334.39129412</v>
      </c>
      <c r="N38" s="104">
        <f t="shared" si="10"/>
        <v>-1165639002.1013107</v>
      </c>
      <c r="O38" s="104">
        <f t="shared" si="10"/>
        <v>-1354247529.3692627</v>
      </c>
      <c r="P38" s="104">
        <f t="shared" si="10"/>
        <v>-1537283838.3685293</v>
      </c>
      <c r="Q38" s="104">
        <f t="shared" si="10"/>
        <v>-1714893015.396811</v>
      </c>
      <c r="R38" s="104">
        <f t="shared" si="10"/>
        <v>-1887210735.0059345</v>
      </c>
      <c r="S38" s="104">
        <f t="shared" si="10"/>
        <v>-2054363662.8135834</v>
      </c>
      <c r="T38" s="104">
        <f t="shared" si="10"/>
        <v>-2216469838.0010238</v>
      </c>
      <c r="U38" s="104">
        <f t="shared" si="10"/>
        <v>-2373639036.4523168</v>
      </c>
      <c r="V38" s="104">
        <f t="shared" si="10"/>
        <v>-2525973115.4442549</v>
      </c>
      <c r="W38" s="104">
        <f t="shared" si="10"/>
        <v>-2673566340.752213</v>
      </c>
      <c r="X38" s="104">
        <f t="shared" si="10"/>
        <v>-2816505696.9951744</v>
      </c>
      <c r="Y38" s="104">
        <f t="shared" si="10"/>
        <v>-2954871182.0032554</v>
      </c>
      <c r="Z38" s="104">
        <f t="shared" si="10"/>
        <v>-3088736085.9530253</v>
      </c>
    </row>
    <row r="39" spans="1:26" ht="15" customHeight="1" x14ac:dyDescent="0.3">
      <c r="A39" s="37" t="s">
        <v>406</v>
      </c>
      <c r="B39" s="104">
        <f>B37</f>
        <v>-900000000</v>
      </c>
      <c r="C39" s="104">
        <f t="shared" ref="C39:Z39" si="11">B39+C37</f>
        <v>-1170869807.0527999</v>
      </c>
      <c r="D39" s="104">
        <f t="shared" si="11"/>
        <v>-1433513066.5609217</v>
      </c>
      <c r="E39" s="104">
        <f t="shared" si="11"/>
        <v>-1688228156.8703866</v>
      </c>
      <c r="F39" s="104">
        <f t="shared" si="11"/>
        <v>-1935297204.247885</v>
      </c>
      <c r="G39" s="104">
        <f t="shared" si="11"/>
        <v>-2174986824.3822088</v>
      </c>
      <c r="H39" s="104">
        <f t="shared" si="11"/>
        <v>-2407548827.5216498</v>
      </c>
      <c r="I39" s="104">
        <f t="shared" si="11"/>
        <v>-2633220888.9773932</v>
      </c>
      <c r="J39" s="104">
        <f t="shared" si="11"/>
        <v>-2852227186.6395965</v>
      </c>
      <c r="K39" s="104">
        <f t="shared" si="11"/>
        <v>-3064779007.0734763</v>
      </c>
      <c r="L39" s="104">
        <f t="shared" si="11"/>
        <v>-3271075321.6871815</v>
      </c>
      <c r="M39" s="104">
        <f t="shared" si="11"/>
        <v>-3471303334.3912935</v>
      </c>
      <c r="N39" s="104">
        <f t="shared" si="11"/>
        <v>-3665639002.1013103</v>
      </c>
      <c r="O39" s="104">
        <f t="shared" si="11"/>
        <v>-3854247529.3692622</v>
      </c>
      <c r="P39" s="104">
        <f t="shared" si="11"/>
        <v>-4037283838.3685288</v>
      </c>
      <c r="Q39" s="104">
        <f t="shared" si="11"/>
        <v>-4214893015.3968105</v>
      </c>
      <c r="R39" s="104">
        <f t="shared" si="11"/>
        <v>-4387210735.0059338</v>
      </c>
      <c r="S39" s="104">
        <f t="shared" si="11"/>
        <v>-4554363662.8135824</v>
      </c>
      <c r="T39" s="104">
        <f t="shared" si="11"/>
        <v>-4716469838.0010233</v>
      </c>
      <c r="U39" s="104">
        <f t="shared" si="11"/>
        <v>-4873639036.4523163</v>
      </c>
      <c r="V39" s="104">
        <f t="shared" si="11"/>
        <v>-5025973115.4442539</v>
      </c>
      <c r="W39" s="104">
        <f t="shared" si="11"/>
        <v>-5173566340.7522116</v>
      </c>
      <c r="X39" s="104">
        <f t="shared" si="11"/>
        <v>-5316505696.9951735</v>
      </c>
      <c r="Y39" s="104">
        <f t="shared" si="11"/>
        <v>-5454871182.0032539</v>
      </c>
      <c r="Z39" s="104">
        <f t="shared" si="11"/>
        <v>-5588736085.9530239</v>
      </c>
    </row>
    <row r="42" spans="1:26" ht="15" customHeight="1" x14ac:dyDescent="0.3">
      <c r="A42" s="57" t="s">
        <v>409</v>
      </c>
    </row>
    <row r="43" spans="1:26" ht="26.25" customHeight="1" x14ac:dyDescent="0.3">
      <c r="A43" s="12" t="s">
        <v>358</v>
      </c>
      <c r="B43" s="12" t="s">
        <v>312</v>
      </c>
      <c r="C43" s="12" t="s">
        <v>313</v>
      </c>
      <c r="D43" s="12" t="s">
        <v>314</v>
      </c>
      <c r="E43" s="12" t="s">
        <v>359</v>
      </c>
    </row>
    <row r="44" spans="1:26" ht="31.5" customHeight="1" x14ac:dyDescent="0.3">
      <c r="A44" s="10" t="s">
        <v>410</v>
      </c>
      <c r="B44" s="38">
        <f>B13+NPV('3_Giả định'!$B$14/12,C13:Z13)</f>
        <v>10833860972.668793</v>
      </c>
      <c r="C44" s="38">
        <f>B25+NPV('3_Giả định'!$C$14/12,C25:Z25)</f>
        <v>935463001.14868689</v>
      </c>
      <c r="D44" s="38">
        <f>B37+NPV('3_Giả định'!$D$14/12,C37:Z37)</f>
        <v>-5001500911.9690199</v>
      </c>
      <c r="E44" s="37" t="s">
        <v>411</v>
      </c>
    </row>
    <row r="45" spans="1:26" ht="15" customHeight="1" x14ac:dyDescent="0.3">
      <c r="A45" s="37" t="s">
        <v>412</v>
      </c>
      <c r="B45" s="40">
        <f>IFERROR((1+IRR(B13:Z13,0.01))^12-1,"Không tính được")</f>
        <v>3.8576208241827032</v>
      </c>
      <c r="C45" s="40">
        <f>IFERROR((1+IRR(B25:Z25,0.01))^12-1,"Không tính được")</f>
        <v>0.47218455060102338</v>
      </c>
      <c r="D45" s="40" t="str">
        <f>IFERROR((1+IRR(B37:Z37,0.01))^12-1,"Không tính được")</f>
        <v>Không tính được</v>
      </c>
      <c r="E45" s="37" t="s">
        <v>413</v>
      </c>
      <c r="F45" s="41" t="s">
        <v>414</v>
      </c>
    </row>
    <row r="46" spans="1:26" ht="15" customHeight="1" x14ac:dyDescent="0.3">
      <c r="A46" s="37" t="s">
        <v>415</v>
      </c>
      <c r="B46" s="38">
        <f>MIN(B14:Z14)</f>
        <v>761044165.65671432</v>
      </c>
      <c r="C46" s="38">
        <f>MIN(B26:Z26)</f>
        <v>173346596.44737914</v>
      </c>
      <c r="D46" s="38">
        <f>MIN(B38:Z38)</f>
        <v>-3088736085.9530253</v>
      </c>
      <c r="E46" s="37" t="s">
        <v>411</v>
      </c>
    </row>
    <row r="47" spans="1:26" ht="15" customHeight="1" x14ac:dyDescent="0.3">
      <c r="A47" s="37" t="s">
        <v>416</v>
      </c>
      <c r="B47" s="58" t="str">
        <f>IF('3_Giả định'!B7=0,"Chưa điền",IFERROR(MATCH(TRUE(),INDEX(C14:Z14&lt;0,0),0),"Không hết tiền trong 24 tháng"))</f>
        <v>Không hết tiền trong 24 tháng</v>
      </c>
      <c r="C47" s="58" t="str">
        <f>IF('3_Giả định'!C7=0,"Chưa điền",IFERROR(MATCH(TRUE(),INDEX(C26:Z26&lt;0,0),0),"Không hết tiền trong 24 tháng"))</f>
        <v>Không hết tiền trong 24 tháng</v>
      </c>
      <c r="D47" s="58">
        <f>IF('3_Giả định'!D7=0,"Chưa điền",IFERROR(MATCH(TRUE(),INDEX(C38:Z38&lt;0,0),0),"Không hết tiền trong 24 tháng"))</f>
        <v>7</v>
      </c>
      <c r="E47" s="37" t="s">
        <v>417</v>
      </c>
      <c r="F47" s="41" t="s">
        <v>418</v>
      </c>
    </row>
    <row r="48" spans="1:26" ht="15" customHeight="1" x14ac:dyDescent="0.3">
      <c r="A48" s="37" t="s">
        <v>419</v>
      </c>
      <c r="B48" s="58">
        <f>IF('3_Giả định'!B7=0,"Chưa điền",IFERROR(MATCH(TRUE(),INDEX(C15:Z15&gt;=0,0),0),"Chưa hoàn vốn trong 24 tháng"))</f>
        <v>13</v>
      </c>
      <c r="C48" s="58">
        <f>IF('3_Giả định'!C7=0,"Chưa điền",IFERROR(MATCH(TRUE(),INDEX(C27:Z27&gt;=0,0),0),"Chưa hoàn vốn trong 24 tháng"))</f>
        <v>21</v>
      </c>
      <c r="D48" s="58" t="str">
        <f>IF('3_Giả định'!D7=0,"Chưa điền",IFERROR(MATCH(TRUE(),INDEX(C39:Z39&gt;=0,0),0),"Chưa hoàn vốn trong 24 tháng"))</f>
        <v>Chưa hoàn vốn trong 24 tháng</v>
      </c>
      <c r="E48" s="37" t="s">
        <v>420</v>
      </c>
    </row>
    <row r="49" spans="1:8" ht="15" customHeight="1" x14ac:dyDescent="0.3">
      <c r="A49" s="37" t="s">
        <v>421</v>
      </c>
      <c r="B49" s="43">
        <f>Z7</f>
        <v>906.47479858411748</v>
      </c>
      <c r="C49" s="43">
        <f>Z19</f>
        <v>411.55240827029638</v>
      </c>
      <c r="D49" s="43">
        <f>Z31</f>
        <v>114.82344164233369</v>
      </c>
      <c r="E49" s="37"/>
    </row>
    <row r="50" spans="1:8" ht="15" customHeight="1" x14ac:dyDescent="0.3">
      <c r="A50" s="37" t="s">
        <v>422</v>
      </c>
      <c r="B50" s="38">
        <f>Z8</f>
        <v>3958575445.416841</v>
      </c>
      <c r="C50" s="38">
        <f>Z20</f>
        <v>1633863060.8330767</v>
      </c>
      <c r="D50" s="38">
        <f>Z32</f>
        <v>364679250.65605181</v>
      </c>
      <c r="E50" s="37"/>
    </row>
    <row r="53" spans="1:8" ht="15" customHeight="1" x14ac:dyDescent="0.3">
      <c r="A53" s="57" t="s">
        <v>423</v>
      </c>
    </row>
    <row r="54" spans="1:8" ht="15" customHeight="1" x14ac:dyDescent="0.3">
      <c r="A54" s="18" t="s">
        <v>424</v>
      </c>
      <c r="B54" s="46">
        <v>0.2</v>
      </c>
      <c r="C54" s="41" t="s">
        <v>425</v>
      </c>
    </row>
    <row r="56" spans="1:8" ht="45" customHeight="1" x14ac:dyDescent="0.3">
      <c r="A56" s="59" t="s">
        <v>426</v>
      </c>
      <c r="B56" s="60" t="s">
        <v>427</v>
      </c>
      <c r="C56" s="60" t="s">
        <v>428</v>
      </c>
      <c r="D56" s="60" t="s">
        <v>429</v>
      </c>
      <c r="E56" s="60" t="s">
        <v>430</v>
      </c>
      <c r="F56" s="60" t="s">
        <v>416</v>
      </c>
      <c r="G56" s="60" t="s">
        <v>431</v>
      </c>
      <c r="H56" s="60" t="s">
        <v>432</v>
      </c>
    </row>
    <row r="57" spans="1:8" ht="27.75" customHeight="1" x14ac:dyDescent="0.3">
      <c r="A57" s="91" t="s">
        <v>433</v>
      </c>
      <c r="B57" s="111" t="s">
        <v>434</v>
      </c>
      <c r="C57" s="111" t="s">
        <v>434</v>
      </c>
      <c r="D57" s="20">
        <f>(B94+NPV($K$80/12,C94:Z94))/1000000</f>
        <v>935.46300114868689</v>
      </c>
      <c r="E57" s="111" t="s">
        <v>434</v>
      </c>
      <c r="F57" s="112" t="str">
        <f>IFERROR(MATCH(TRUE(),INDEX(C95:Z95&lt;0,0),0),"Không hết tiền trong 24 tháng")</f>
        <v>Không hết tiền trong 24 tháng</v>
      </c>
      <c r="G57" s="112">
        <f>IFERROR(MATCH(TRUE(),INDEX(C96:Z96&gt;=0,0),0),"Chưa hoàn vốn trong 24 tháng")</f>
        <v>21</v>
      </c>
      <c r="H57" s="37"/>
    </row>
    <row r="58" spans="1:8" ht="27.75" customHeight="1" x14ac:dyDescent="0.3">
      <c r="A58" s="18" t="s">
        <v>435</v>
      </c>
      <c r="B58" s="20">
        <f>'3_Giả định'!$C$17</f>
        <v>3970000</v>
      </c>
      <c r="C58" s="20">
        <f>B81</f>
        <v>3176000</v>
      </c>
      <c r="D58" s="20">
        <f>(B100+NPV($K$81/12,C100:Z100))/1000000</f>
        <v>-1965.0909141351876</v>
      </c>
      <c r="E58" s="20">
        <f t="shared" ref="E58:E64" si="12">D58-$D$57</f>
        <v>-2900.5539152838746</v>
      </c>
      <c r="F58" s="112">
        <f>IFERROR(MATCH(TRUE(),INDEX(C101:Z101&lt;0,0),0),"Không hết tiền trong 24 tháng")</f>
        <v>8</v>
      </c>
      <c r="G58" s="112" t="str">
        <f>IFERROR(MATCH(TRUE(),INDEX(C102:Z102&gt;=0,0),0),"Chưa hoàn vốn trong 24 tháng")</f>
        <v>Chưa hoàn vốn trong 24 tháng</v>
      </c>
      <c r="H58" s="113">
        <f t="shared" ref="H58:H64" si="13">RANK(D58,$D$58:$D$64,1)</f>
        <v>1</v>
      </c>
    </row>
    <row r="59" spans="1:8" ht="27.75" customHeight="1" x14ac:dyDescent="0.3">
      <c r="A59" s="18" t="s">
        <v>436</v>
      </c>
      <c r="B59" s="20">
        <f>'3_Giả định'!$C$18</f>
        <v>1239695.4240000001</v>
      </c>
      <c r="C59" s="20">
        <f>C82</f>
        <v>1487634.5088000002</v>
      </c>
      <c r="D59" s="20">
        <f>(B106+NPV($K$82/12,C106:Z106))/1000000</f>
        <v>29.71906768704951</v>
      </c>
      <c r="E59" s="20">
        <f t="shared" si="12"/>
        <v>-905.74393346163743</v>
      </c>
      <c r="F59" s="112">
        <f>IFERROR(MATCH(TRUE(),INDEX(C107:Z107&lt;0,0),0),"Không hết tiền trong 24 tháng")</f>
        <v>10</v>
      </c>
      <c r="G59" s="112">
        <f>IFERROR(MATCH(TRUE(),INDEX(C108:Z108&gt;=0,0),0),"Chưa hoàn vốn trong 24 tháng")</f>
        <v>23</v>
      </c>
      <c r="H59" s="113">
        <f t="shared" si="13"/>
        <v>3</v>
      </c>
    </row>
    <row r="60" spans="1:8" ht="27.75" customHeight="1" x14ac:dyDescent="0.3">
      <c r="A60" s="18" t="s">
        <v>437</v>
      </c>
      <c r="B60" s="61">
        <f>'3_Giả định'!$C$9</f>
        <v>0.03</v>
      </c>
      <c r="C60" s="61">
        <f>F83</f>
        <v>3.5999999999999997E-2</v>
      </c>
      <c r="D60" s="20">
        <f>(B112+NPV($K$83/12,C112:Z112))/1000000</f>
        <v>586.8819805067551</v>
      </c>
      <c r="E60" s="20">
        <f t="shared" si="12"/>
        <v>-348.58102064193179</v>
      </c>
      <c r="F60" s="112" t="str">
        <f>IFERROR(MATCH(TRUE(),INDEX(C113:Z113&lt;0,0),0),"Không hết tiền trong 24 tháng")</f>
        <v>Không hết tiền trong 24 tháng</v>
      </c>
      <c r="G60" s="112">
        <f>IFERROR(MATCH(TRUE(),INDEX(C114:Z114&gt;=0,0),0),"Chưa hoàn vốn trong 24 tháng")</f>
        <v>22</v>
      </c>
      <c r="H60" s="113">
        <f t="shared" si="13"/>
        <v>7</v>
      </c>
    </row>
    <row r="61" spans="1:8" ht="27.75" customHeight="1" x14ac:dyDescent="0.3">
      <c r="A61" s="18" t="s">
        <v>438</v>
      </c>
      <c r="B61" s="20">
        <f>'3_Giả định'!$C$10</f>
        <v>9000000</v>
      </c>
      <c r="C61" s="20">
        <f>G84</f>
        <v>10800000</v>
      </c>
      <c r="D61" s="20">
        <f>(B118+NPV($K$84/12,C118:Z118))/1000000</f>
        <v>132.71500001876103</v>
      </c>
      <c r="E61" s="20">
        <f t="shared" si="12"/>
        <v>-802.7480011299258</v>
      </c>
      <c r="F61" s="112">
        <f>IFERROR(MATCH(TRUE(),INDEX(C119:Z119&lt;0,0),0),"Không hết tiền trong 24 tháng")</f>
        <v>9</v>
      </c>
      <c r="G61" s="112">
        <f>IFERROR(MATCH(TRUE(),INDEX(C120:Z120&gt;=0,0),0),"Chưa hoàn vốn trong 24 tháng")</f>
        <v>23</v>
      </c>
      <c r="H61" s="113">
        <f t="shared" si="13"/>
        <v>5</v>
      </c>
    </row>
    <row r="62" spans="1:8" ht="27.75" customHeight="1" x14ac:dyDescent="0.3">
      <c r="A62" s="18" t="s">
        <v>439</v>
      </c>
      <c r="B62" s="114">
        <f>'3_Giả định'!$C$7</f>
        <v>12</v>
      </c>
      <c r="C62" s="114">
        <f>D85</f>
        <v>9.6000000000000014</v>
      </c>
      <c r="D62" s="20">
        <f>(B124+NPV($K$85/12,C124:Z124))/1000000</f>
        <v>-256.59897954362475</v>
      </c>
      <c r="E62" s="20">
        <f t="shared" si="12"/>
        <v>-1192.0619806923116</v>
      </c>
      <c r="F62" s="112" t="str">
        <f>IFERROR(MATCH(TRUE(),INDEX(C125:Z125&lt;0,0),0),"Không hết tiền trong 24 tháng")</f>
        <v>Không hết tiền trong 24 tháng</v>
      </c>
      <c r="G62" s="112">
        <f>IFERROR(MATCH(TRUE(),INDEX(C126:Z126&gt;=0,0),0),"Chưa hoàn vốn trong 24 tháng")</f>
        <v>24</v>
      </c>
      <c r="H62" s="113">
        <f t="shared" si="13"/>
        <v>2</v>
      </c>
    </row>
    <row r="63" spans="1:8" ht="27.75" customHeight="1" x14ac:dyDescent="0.3">
      <c r="A63" s="18" t="s">
        <v>440</v>
      </c>
      <c r="B63" s="61">
        <f>'3_Giả định'!$C$8</f>
        <v>0.05</v>
      </c>
      <c r="C63" s="61">
        <f>E86</f>
        <v>4.0000000000000008E-2</v>
      </c>
      <c r="D63" s="20">
        <f>(B130+NPV($K$86/12,C130:Z130))/1000000</f>
        <v>539.87763227163816</v>
      </c>
      <c r="E63" s="20">
        <f t="shared" si="12"/>
        <v>-395.58536887704872</v>
      </c>
      <c r="F63" s="112" t="str">
        <f>IFERROR(MATCH(TRUE(),INDEX(C131:Z131&lt;0,0),0),"Không hết tiền trong 24 tháng")</f>
        <v>Không hết tiền trong 24 tháng</v>
      </c>
      <c r="G63" s="112">
        <f>IFERROR(MATCH(TRUE(),INDEX(C132:Z132&gt;=0,0),0),"Chưa hoàn vốn trong 24 tháng")</f>
        <v>22</v>
      </c>
      <c r="H63" s="113">
        <f t="shared" si="13"/>
        <v>6</v>
      </c>
    </row>
    <row r="64" spans="1:8" ht="27.75" customHeight="1" x14ac:dyDescent="0.3">
      <c r="A64" s="18" t="s">
        <v>441</v>
      </c>
      <c r="B64" s="20">
        <f>'3_Giả định'!$C$11</f>
        <v>200000000</v>
      </c>
      <c r="C64" s="20">
        <f>H87</f>
        <v>240000000</v>
      </c>
      <c r="D64" s="20">
        <f>(B136+NPV($K$87/12,C136:Z136))/1000000</f>
        <v>110.49362068611312</v>
      </c>
      <c r="E64" s="20">
        <f t="shared" si="12"/>
        <v>-824.96938046257378</v>
      </c>
      <c r="F64" s="112">
        <f>IFERROR(MATCH(TRUE(),INDEX(C137:Z137&lt;0,0),0),"Không hết tiền trong 24 tháng")</f>
        <v>7</v>
      </c>
      <c r="G64" s="112">
        <f>IFERROR(MATCH(TRUE(),INDEX(C138:Z138&gt;=0,0),0),"Chưa hoàn vốn trong 24 tháng")</f>
        <v>23</v>
      </c>
      <c r="H64" s="113">
        <f t="shared" si="13"/>
        <v>4</v>
      </c>
    </row>
    <row r="66" spans="1:11" ht="15" customHeight="1" x14ac:dyDescent="0.3">
      <c r="A66" s="91" t="s">
        <v>442</v>
      </c>
      <c r="B66" s="115" t="str">
        <f>IF(MAX(D58:D64)-MIN(D58:D64)&lt;0.5,"Chưa đủ số liệu",INDEX(A58:A64,MATCH(MIN(D58:D64),D58:D64,0)))</f>
        <v>Doanh thu bình quân giảm</v>
      </c>
    </row>
    <row r="68" spans="1:11" ht="31.5" customHeight="1" x14ac:dyDescent="0.3">
      <c r="A68" s="116" t="s">
        <v>443</v>
      </c>
      <c r="B68" s="111" t="s">
        <v>434</v>
      </c>
      <c r="C68" s="111" t="s">
        <v>434</v>
      </c>
      <c r="D68" s="20">
        <f>(B142+NPV($K$88/12,C142:Z142))/1000000</f>
        <v>-3827.4456065713221</v>
      </c>
      <c r="E68" s="20">
        <f>D68-$D$57</f>
        <v>-4762.9086077200091</v>
      </c>
      <c r="F68" s="112">
        <f>IFERROR(MATCH(TRUE(),INDEX(C143:Z143&lt;0,0),0),"Không hết tiền trong 24 tháng")</f>
        <v>7</v>
      </c>
      <c r="G68" s="112" t="str">
        <f>IFERROR(MATCH(TRUE(),INDEX(C144:Z144&gt;=0,0),0),"Chưa hoàn vốn trong 24 tháng")</f>
        <v>Chưa hoàn vốn trong 24 tháng</v>
      </c>
    </row>
    <row r="69" spans="1:11" ht="15" customHeight="1" x14ac:dyDescent="0.3">
      <c r="A69" s="41" t="s">
        <v>444</v>
      </c>
    </row>
    <row r="70" spans="1:11" ht="15" customHeight="1" x14ac:dyDescent="0.3">
      <c r="A70" s="57" t="s">
        <v>445</v>
      </c>
    </row>
    <row r="71" spans="1:11" ht="45" customHeight="1" x14ac:dyDescent="0.3">
      <c r="A71" s="12" t="s">
        <v>358</v>
      </c>
      <c r="B71" s="12" t="s">
        <v>446</v>
      </c>
      <c r="C71" s="12" t="s">
        <v>447</v>
      </c>
      <c r="D71" s="42" t="s">
        <v>448</v>
      </c>
      <c r="E71" s="77" t="s">
        <v>449</v>
      </c>
      <c r="F71" s="73"/>
      <c r="G71" s="73"/>
      <c r="H71" s="73"/>
    </row>
    <row r="72" spans="1:11" ht="15" customHeight="1" x14ac:dyDescent="0.3">
      <c r="A72" s="18" t="s">
        <v>450</v>
      </c>
      <c r="B72" s="20">
        <f>'3_Giả định'!C17</f>
        <v>3970000</v>
      </c>
      <c r="C72" s="22">
        <f>IFERROR(B72*(1-$B$54*$D$57/($D$57-$D$58)),"")</f>
        <v>3713925.5933157294</v>
      </c>
      <c r="D72" s="24">
        <f>IFERROR(C72/B72-1,"")</f>
        <v>-6.4502369441881813E-2</v>
      </c>
      <c r="E72" s="78" t="s">
        <v>451</v>
      </c>
      <c r="F72" s="101"/>
      <c r="G72" s="101"/>
      <c r="H72" s="101"/>
    </row>
    <row r="73" spans="1:11" ht="15" customHeight="1" x14ac:dyDescent="0.3">
      <c r="A73" s="18" t="s">
        <v>104</v>
      </c>
      <c r="B73" s="61">
        <f>'4_Chỉ số mỗi khách'!C7</f>
        <v>0.68773415012594452</v>
      </c>
      <c r="C73" s="49">
        <f>IFERROR(1-('3_Giả định'!C18*(1+$B$54*$D$57/($D$57-$D$59)))/'3_Giả định'!C17,"")</f>
        <v>0.6232317806840626</v>
      </c>
      <c r="D73" s="61">
        <f>IFERROR(C73-B73,"")</f>
        <v>-6.4502369441881924E-2</v>
      </c>
      <c r="E73" s="78" t="s">
        <v>452</v>
      </c>
      <c r="F73" s="101"/>
      <c r="G73" s="101"/>
      <c r="H73" s="101"/>
    </row>
    <row r="74" spans="1:11" ht="15" customHeight="1" x14ac:dyDescent="0.3">
      <c r="A74" s="18" t="s">
        <v>453</v>
      </c>
      <c r="B74" s="20">
        <f>'3_Giả định'!C10</f>
        <v>9000000</v>
      </c>
      <c r="C74" s="22">
        <f>IFERROR(B74*(1+$B$54*$D$57/($D$57-$D$61)),"")</f>
        <v>11097586.539857488</v>
      </c>
      <c r="D74" s="24">
        <f>IFERROR(C74/B74-1,"")</f>
        <v>0.23306517109527647</v>
      </c>
      <c r="E74" s="79" t="str">
        <f>IFERROR("Trên mức này là 'nguy'. Tương ứng LTV ÷ CAC = "&amp;ROUND('4_Chỉ số mỗi khách'!C9/C74,1)&amp;", không phải 3","")</f>
        <v>Trên mức này là 'nguy'. Tương ứng LTV ÷ CAC = 8.2, không phải 3</v>
      </c>
      <c r="F74" s="101"/>
      <c r="G74" s="101"/>
      <c r="H74" s="101"/>
    </row>
    <row r="75" spans="1:11" ht="15" customHeight="1" x14ac:dyDescent="0.3">
      <c r="A75" s="18" t="s">
        <v>454</v>
      </c>
      <c r="B75" s="62">
        <f>'3_Giả định'!C7</f>
        <v>12</v>
      </c>
      <c r="C75" s="63">
        <f>IFERROR(B75*(1-$B$54*$D$57/($D$57-$D$62)),"")</f>
        <v>10.116615378125758</v>
      </c>
      <c r="D75" s="24">
        <f>IFERROR(C75/B75-1,"")</f>
        <v>-0.15694871848952019</v>
      </c>
      <c r="E75" s="78" t="s">
        <v>455</v>
      </c>
      <c r="F75" s="101"/>
      <c r="G75" s="101"/>
      <c r="H75" s="101"/>
    </row>
    <row r="76" spans="1:11" ht="15" customHeight="1" x14ac:dyDescent="0.3">
      <c r="A76" s="18" t="s">
        <v>456</v>
      </c>
      <c r="B76" s="20">
        <f>'3_Giả định'!C11</f>
        <v>200000000</v>
      </c>
      <c r="C76" s="22">
        <f>IFERROR(B76*(1+$B$54*$D$57/($D$57-$D$64)),"")</f>
        <v>245357465.29764086</v>
      </c>
      <c r="D76" s="24">
        <f>IFERROR(C76/B76-1,"")</f>
        <v>0.22678732648820432</v>
      </c>
      <c r="E76" s="78" t="s">
        <v>457</v>
      </c>
      <c r="F76" s="101"/>
      <c r="G76" s="101"/>
      <c r="H76" s="101"/>
    </row>
    <row r="77" spans="1:11" ht="15" customHeight="1" x14ac:dyDescent="0.3">
      <c r="A77" s="18" t="s">
        <v>458</v>
      </c>
      <c r="B77" s="61">
        <f>'2_Định giá'!B27</f>
        <v>0</v>
      </c>
      <c r="C77" s="49">
        <f>IFERROR(1-C72/('2_Định giá'!D17*'3_Giả định'!C5),"")</f>
        <v>6.4502369441881813E-2</v>
      </c>
      <c r="D77" s="61">
        <f>IFERROR(C77-B77,"")</f>
        <v>6.4502369441881813E-2</v>
      </c>
      <c r="E77" s="78" t="s">
        <v>459</v>
      </c>
      <c r="F77" s="101"/>
      <c r="G77" s="101"/>
      <c r="H77" s="101"/>
    </row>
    <row r="78" spans="1:11" ht="15" customHeight="1" x14ac:dyDescent="0.3">
      <c r="A78" s="64" t="s">
        <v>460</v>
      </c>
    </row>
    <row r="79" spans="1:11" ht="15" hidden="1" customHeight="1" outlineLevel="1" x14ac:dyDescent="0.3">
      <c r="A79" s="64" t="s">
        <v>461</v>
      </c>
      <c r="B79" s="64" t="s">
        <v>462</v>
      </c>
      <c r="C79" s="64" t="s">
        <v>463</v>
      </c>
      <c r="D79" s="64" t="s">
        <v>464</v>
      </c>
      <c r="E79" s="64" t="s">
        <v>465</v>
      </c>
      <c r="F79" s="64" t="s">
        <v>466</v>
      </c>
      <c r="G79" s="64" t="s">
        <v>467</v>
      </c>
      <c r="H79" s="64" t="s">
        <v>403</v>
      </c>
      <c r="I79" s="64" t="s">
        <v>468</v>
      </c>
      <c r="J79" s="64" t="s">
        <v>469</v>
      </c>
      <c r="K79" s="64" t="s">
        <v>470</v>
      </c>
    </row>
    <row r="80" spans="1:11" ht="15" hidden="1" customHeight="1" outlineLevel="1" x14ac:dyDescent="0.3">
      <c r="A80" s="64" t="s">
        <v>471</v>
      </c>
      <c r="B80" s="65">
        <f>'3_Giả định'!$C$17</f>
        <v>3970000</v>
      </c>
      <c r="C80" s="65">
        <f>'3_Giả định'!$C$18</f>
        <v>1239695.4240000001</v>
      </c>
      <c r="D80" s="66">
        <f>'3_Giả định'!$C$7</f>
        <v>12</v>
      </c>
      <c r="E80" s="67">
        <f>'3_Giả định'!$C$8</f>
        <v>0.05</v>
      </c>
      <c r="F80" s="67">
        <f>'3_Giả định'!$C$9</f>
        <v>0.03</v>
      </c>
      <c r="G80" s="65">
        <f>'3_Giả định'!$C$10</f>
        <v>9000000</v>
      </c>
      <c r="H80" s="65">
        <f>'3_Giả định'!$C$11</f>
        <v>200000000</v>
      </c>
      <c r="I80" s="65">
        <f>'3_Giả định'!$C$12</f>
        <v>900000000</v>
      </c>
      <c r="J80" s="65">
        <f>'3_Giả định'!$C$13</f>
        <v>2500000000</v>
      </c>
      <c r="K80" s="67">
        <f>'3_Giả định'!$C$14</f>
        <v>0.15</v>
      </c>
    </row>
    <row r="81" spans="1:26" ht="15" hidden="1" customHeight="1" outlineLevel="1" x14ac:dyDescent="0.3">
      <c r="A81" s="64" t="s">
        <v>472</v>
      </c>
      <c r="B81" s="65">
        <f>'3_Giả định'!$C$17*(1-$B$54)</f>
        <v>3176000</v>
      </c>
      <c r="C81" s="65">
        <f>'3_Giả định'!$C$18</f>
        <v>1239695.4240000001</v>
      </c>
      <c r="D81" s="66">
        <f>'3_Giả định'!$C$7</f>
        <v>12</v>
      </c>
      <c r="E81" s="67">
        <f>'3_Giả định'!$C$8</f>
        <v>0.05</v>
      </c>
      <c r="F81" s="67">
        <f>'3_Giả định'!$C$9</f>
        <v>0.03</v>
      </c>
      <c r="G81" s="65">
        <f>'3_Giả định'!$C$10</f>
        <v>9000000</v>
      </c>
      <c r="H81" s="65">
        <f>'3_Giả định'!$C$11</f>
        <v>200000000</v>
      </c>
      <c r="I81" s="65">
        <f>'3_Giả định'!$C$12</f>
        <v>900000000</v>
      </c>
      <c r="J81" s="65">
        <f>'3_Giả định'!$C$13</f>
        <v>2500000000</v>
      </c>
      <c r="K81" s="67">
        <f>'3_Giả định'!$C$14</f>
        <v>0.15</v>
      </c>
    </row>
    <row r="82" spans="1:26" ht="15" hidden="1" customHeight="1" outlineLevel="1" x14ac:dyDescent="0.3">
      <c r="A82" s="64" t="s">
        <v>473</v>
      </c>
      <c r="B82" s="65">
        <f>'3_Giả định'!$C$17</f>
        <v>3970000</v>
      </c>
      <c r="C82" s="65">
        <f>'3_Giả định'!$C$18*(1+$B$54)</f>
        <v>1487634.5088000002</v>
      </c>
      <c r="D82" s="66">
        <f>'3_Giả định'!$C$7</f>
        <v>12</v>
      </c>
      <c r="E82" s="67">
        <f>'3_Giả định'!$C$8</f>
        <v>0.05</v>
      </c>
      <c r="F82" s="67">
        <f>'3_Giả định'!$C$9</f>
        <v>0.03</v>
      </c>
      <c r="G82" s="65">
        <f>'3_Giả định'!$C$10</f>
        <v>9000000</v>
      </c>
      <c r="H82" s="65">
        <f>'3_Giả định'!$C$11</f>
        <v>200000000</v>
      </c>
      <c r="I82" s="65">
        <f>'3_Giả định'!$C$12</f>
        <v>900000000</v>
      </c>
      <c r="J82" s="65">
        <f>'3_Giả định'!$C$13</f>
        <v>2500000000</v>
      </c>
      <c r="K82" s="67">
        <f>'3_Giả định'!$C$14</f>
        <v>0.15</v>
      </c>
    </row>
    <row r="83" spans="1:26" ht="15" hidden="1" customHeight="1" outlineLevel="1" x14ac:dyDescent="0.3">
      <c r="A83" s="64" t="s">
        <v>474</v>
      </c>
      <c r="B83" s="65">
        <f>'3_Giả định'!$C$17</f>
        <v>3970000</v>
      </c>
      <c r="C83" s="65">
        <f>'3_Giả định'!$C$18</f>
        <v>1239695.4240000001</v>
      </c>
      <c r="D83" s="66">
        <f>'3_Giả định'!$C$7</f>
        <v>12</v>
      </c>
      <c r="E83" s="67">
        <f>'3_Giả định'!$C$8</f>
        <v>0.05</v>
      </c>
      <c r="F83" s="67">
        <f>'3_Giả định'!$C$9*(1+$B$54)</f>
        <v>3.5999999999999997E-2</v>
      </c>
      <c r="G83" s="65">
        <f>'3_Giả định'!$C$10</f>
        <v>9000000</v>
      </c>
      <c r="H83" s="65">
        <f>'3_Giả định'!$C$11</f>
        <v>200000000</v>
      </c>
      <c r="I83" s="65">
        <f>'3_Giả định'!$C$12</f>
        <v>900000000</v>
      </c>
      <c r="J83" s="65">
        <f>'3_Giả định'!$C$13</f>
        <v>2500000000</v>
      </c>
      <c r="K83" s="67">
        <f>'3_Giả định'!$C$14</f>
        <v>0.15</v>
      </c>
    </row>
    <row r="84" spans="1:26" ht="15" hidden="1" customHeight="1" outlineLevel="1" x14ac:dyDescent="0.3">
      <c r="A84" s="64" t="s">
        <v>475</v>
      </c>
      <c r="B84" s="65">
        <f>'3_Giả định'!$C$17</f>
        <v>3970000</v>
      </c>
      <c r="C84" s="65">
        <f>'3_Giả định'!$C$18</f>
        <v>1239695.4240000001</v>
      </c>
      <c r="D84" s="66">
        <f>'3_Giả định'!$C$7</f>
        <v>12</v>
      </c>
      <c r="E84" s="67">
        <f>'3_Giả định'!$C$8</f>
        <v>0.05</v>
      </c>
      <c r="F84" s="67">
        <f>'3_Giả định'!$C$9</f>
        <v>0.03</v>
      </c>
      <c r="G84" s="65">
        <f>'3_Giả định'!$C$10*(1+$B$54)</f>
        <v>10800000</v>
      </c>
      <c r="H84" s="65">
        <f>'3_Giả định'!$C$11</f>
        <v>200000000</v>
      </c>
      <c r="I84" s="65">
        <f>'3_Giả định'!$C$12</f>
        <v>900000000</v>
      </c>
      <c r="J84" s="65">
        <f>'3_Giả định'!$C$13</f>
        <v>2500000000</v>
      </c>
      <c r="K84" s="67">
        <f>'3_Giả định'!$C$14</f>
        <v>0.15</v>
      </c>
    </row>
    <row r="85" spans="1:26" ht="15" hidden="1" customHeight="1" outlineLevel="1" x14ac:dyDescent="0.3">
      <c r="A85" s="64" t="s">
        <v>476</v>
      </c>
      <c r="B85" s="65">
        <f>'3_Giả định'!$C$17</f>
        <v>3970000</v>
      </c>
      <c r="C85" s="65">
        <f>'3_Giả định'!$C$18</f>
        <v>1239695.4240000001</v>
      </c>
      <c r="D85" s="66">
        <f>'3_Giả định'!$C$7*(1-$B$54)</f>
        <v>9.6000000000000014</v>
      </c>
      <c r="E85" s="67">
        <f>'3_Giả định'!$C$8</f>
        <v>0.05</v>
      </c>
      <c r="F85" s="67">
        <f>'3_Giả định'!$C$9</f>
        <v>0.03</v>
      </c>
      <c r="G85" s="65">
        <f>'3_Giả định'!$C$10</f>
        <v>9000000</v>
      </c>
      <c r="H85" s="65">
        <f>'3_Giả định'!$C$11</f>
        <v>200000000</v>
      </c>
      <c r="I85" s="65">
        <f>'3_Giả định'!$C$12</f>
        <v>900000000</v>
      </c>
      <c r="J85" s="65">
        <f>'3_Giả định'!$C$13</f>
        <v>2500000000</v>
      </c>
      <c r="K85" s="67">
        <f>'3_Giả định'!$C$14</f>
        <v>0.15</v>
      </c>
    </row>
    <row r="86" spans="1:26" ht="15" hidden="1" customHeight="1" outlineLevel="1" x14ac:dyDescent="0.3">
      <c r="A86" s="64" t="s">
        <v>477</v>
      </c>
      <c r="B86" s="65">
        <f>'3_Giả định'!$C$17</f>
        <v>3970000</v>
      </c>
      <c r="C86" s="65">
        <f>'3_Giả định'!$C$18</f>
        <v>1239695.4240000001</v>
      </c>
      <c r="D86" s="66">
        <f>'3_Giả định'!$C$7</f>
        <v>12</v>
      </c>
      <c r="E86" s="67">
        <f>'3_Giả định'!$C$8*(1-$B$54)</f>
        <v>4.0000000000000008E-2</v>
      </c>
      <c r="F86" s="67">
        <f>'3_Giả định'!$C$9</f>
        <v>0.03</v>
      </c>
      <c r="G86" s="65">
        <f>'3_Giả định'!$C$10</f>
        <v>9000000</v>
      </c>
      <c r="H86" s="65">
        <f>'3_Giả định'!$C$11</f>
        <v>200000000</v>
      </c>
      <c r="I86" s="65">
        <f>'3_Giả định'!$C$12</f>
        <v>900000000</v>
      </c>
      <c r="J86" s="65">
        <f>'3_Giả định'!$C$13</f>
        <v>2500000000</v>
      </c>
      <c r="K86" s="67">
        <f>'3_Giả định'!$C$14</f>
        <v>0.15</v>
      </c>
    </row>
    <row r="87" spans="1:26" ht="15" hidden="1" customHeight="1" outlineLevel="1" x14ac:dyDescent="0.3">
      <c r="A87" s="64" t="s">
        <v>478</v>
      </c>
      <c r="B87" s="65">
        <f>'3_Giả định'!$C$17</f>
        <v>3970000</v>
      </c>
      <c r="C87" s="65">
        <f>'3_Giả định'!$C$18</f>
        <v>1239695.4240000001</v>
      </c>
      <c r="D87" s="66">
        <f>'3_Giả định'!$C$7</f>
        <v>12</v>
      </c>
      <c r="E87" s="67">
        <f>'3_Giả định'!$C$8</f>
        <v>0.05</v>
      </c>
      <c r="F87" s="67">
        <f>'3_Giả định'!$C$9</f>
        <v>0.03</v>
      </c>
      <c r="G87" s="65">
        <f>'3_Giả định'!$C$10</f>
        <v>9000000</v>
      </c>
      <c r="H87" s="65">
        <f>'3_Giả định'!$C$11*(1+$B$54)</f>
        <v>240000000</v>
      </c>
      <c r="I87" s="65">
        <f>'3_Giả định'!$C$12</f>
        <v>900000000</v>
      </c>
      <c r="J87" s="65">
        <f>'3_Giả định'!$C$13</f>
        <v>2500000000</v>
      </c>
      <c r="K87" s="67">
        <f>'3_Giả định'!$C$14</f>
        <v>0.15</v>
      </c>
    </row>
    <row r="88" spans="1:26" ht="15" hidden="1" customHeight="1" outlineLevel="1" x14ac:dyDescent="0.3">
      <c r="A88" s="64" t="s">
        <v>479</v>
      </c>
      <c r="B88" s="65">
        <f>'2_Định giá'!$D$15*'3_Giả định'!$C$5*(1-'2_Định giá'!$B$27)</f>
        <v>1990000</v>
      </c>
      <c r="C88" s="65">
        <f>'2_Định giá'!$E$15*'3_Giả định'!$C$6</f>
        <v>563497.92000000004</v>
      </c>
      <c r="D88" s="66">
        <f>'3_Giả định'!$C$7</f>
        <v>12</v>
      </c>
      <c r="E88" s="67">
        <f>'3_Giả định'!$C$8</f>
        <v>0.05</v>
      </c>
      <c r="F88" s="67">
        <f>'3_Giả định'!$C$9</f>
        <v>0.03</v>
      </c>
      <c r="G88" s="65">
        <f>'3_Giả định'!$C$10</f>
        <v>9000000</v>
      </c>
      <c r="H88" s="65">
        <f>'3_Giả định'!$C$11</f>
        <v>200000000</v>
      </c>
      <c r="I88" s="65">
        <f>'3_Giả định'!$C$12</f>
        <v>900000000</v>
      </c>
      <c r="J88" s="65">
        <f>'3_Giả định'!$C$13</f>
        <v>2500000000</v>
      </c>
      <c r="K88" s="67">
        <f>'3_Giả định'!$C$14</f>
        <v>0.15</v>
      </c>
    </row>
    <row r="89" spans="1:26" ht="15" hidden="1" customHeight="1" outlineLevel="1" x14ac:dyDescent="0.3"/>
    <row r="90" spans="1:26" ht="15" hidden="1" customHeight="1" outlineLevel="1" x14ac:dyDescent="0.3"/>
    <row r="91" spans="1:26" ht="15" hidden="1" customHeight="1" outlineLevel="1" x14ac:dyDescent="0.3"/>
    <row r="92" spans="1:26" ht="15" hidden="1" customHeight="1" outlineLevel="1" x14ac:dyDescent="0.3">
      <c r="A92" s="64" t="s">
        <v>480</v>
      </c>
      <c r="C92" s="66">
        <f>$D$80*(1+$E$80)^0</f>
        <v>12</v>
      </c>
      <c r="D92" s="66">
        <f>$D$80*(1+$E$80)^1</f>
        <v>12.600000000000001</v>
      </c>
      <c r="E92" s="66">
        <f>$D$80*(1+$E$80)^2</f>
        <v>13.23</v>
      </c>
      <c r="F92" s="66">
        <f>$D$80*(1+$E$80)^3</f>
        <v>13.891500000000001</v>
      </c>
      <c r="G92" s="66">
        <f>$D$80*(1+$E$80)^4</f>
        <v>14.586075000000001</v>
      </c>
      <c r="H92" s="66">
        <f>$D$80*(1+$E$80)^5</f>
        <v>15.315378750000001</v>
      </c>
      <c r="I92" s="66">
        <f>$D$80*(1+$E$80)^6</f>
        <v>16.0811476875</v>
      </c>
      <c r="J92" s="66">
        <f>$D$80*(1+$E$80)^7</f>
        <v>16.885205071875003</v>
      </c>
      <c r="K92" s="66">
        <f>$D$80*(1+$E$80)^8</f>
        <v>17.729465325468752</v>
      </c>
      <c r="L92" s="66">
        <f>$D$80*(1+$E$80)^9</f>
        <v>18.615938591742189</v>
      </c>
      <c r="M92" s="66">
        <f>$D$80*(1+$E$80)^10</f>
        <v>19.5467355213293</v>
      </c>
      <c r="N92" s="66">
        <f>$D$80*(1+$E$80)^11</f>
        <v>20.524072297395765</v>
      </c>
      <c r="O92" s="66">
        <f>$D$80*(1+$E$80)^12</f>
        <v>21.550275912265551</v>
      </c>
      <c r="P92" s="66">
        <f>$D$80*(1+$E$80)^13</f>
        <v>22.627789707878833</v>
      </c>
      <c r="Q92" s="66">
        <f>$D$80*(1+$E$80)^14</f>
        <v>23.759179193272768</v>
      </c>
      <c r="R92" s="66">
        <f>$D$80*(1+$E$80)^15</f>
        <v>24.947138152936414</v>
      </c>
      <c r="S92" s="66">
        <f>$D$80*(1+$E$80)^16</f>
        <v>26.194495060583233</v>
      </c>
      <c r="T92" s="66">
        <f>$D$80*(1+$E$80)^17</f>
        <v>27.504219813612398</v>
      </c>
      <c r="U92" s="66">
        <f>$D$80*(1+$E$80)^18</f>
        <v>28.879430804293015</v>
      </c>
      <c r="V92" s="66">
        <f>$D$80*(1+$E$80)^19</f>
        <v>30.32340234450767</v>
      </c>
      <c r="W92" s="66">
        <f>$D$80*(1+$E$80)^20</f>
        <v>31.839572461733049</v>
      </c>
      <c r="X92" s="66">
        <f>$D$80*(1+$E$80)^21</f>
        <v>33.431551084819702</v>
      </c>
      <c r="Y92" s="66">
        <f>$D$80*(1+$E$80)^22</f>
        <v>35.103128639060685</v>
      </c>
      <c r="Z92" s="66">
        <f>$D$80*(1+$E$80)^23</f>
        <v>36.858285071013725</v>
      </c>
    </row>
    <row r="93" spans="1:26" ht="15" hidden="1" customHeight="1" outlineLevel="1" x14ac:dyDescent="0.3">
      <c r="A93" s="64" t="s">
        <v>481</v>
      </c>
      <c r="B93" s="64">
        <v>0</v>
      </c>
      <c r="C93" s="66">
        <f t="shared" ref="C93:Z93" si="14">B93*(1-$F$80)+C92</f>
        <v>12</v>
      </c>
      <c r="D93" s="66">
        <f t="shared" si="14"/>
        <v>24.240000000000002</v>
      </c>
      <c r="E93" s="66">
        <f t="shared" si="14"/>
        <v>36.742800000000003</v>
      </c>
      <c r="F93" s="66">
        <f t="shared" si="14"/>
        <v>49.532015999999999</v>
      </c>
      <c r="G93" s="66">
        <f t="shared" si="14"/>
        <v>62.632130519999997</v>
      </c>
      <c r="H93" s="66">
        <f t="shared" si="14"/>
        <v>76.068545354399987</v>
      </c>
      <c r="I93" s="66">
        <f t="shared" si="14"/>
        <v>89.867636681267982</v>
      </c>
      <c r="J93" s="66">
        <f t="shared" si="14"/>
        <v>104.05681265270495</v>
      </c>
      <c r="K93" s="66">
        <f t="shared" si="14"/>
        <v>118.66457359859255</v>
      </c>
      <c r="L93" s="66">
        <f t="shared" si="14"/>
        <v>133.72057498237697</v>
      </c>
      <c r="M93" s="66">
        <f t="shared" si="14"/>
        <v>149.25569325423498</v>
      </c>
      <c r="N93" s="66">
        <f t="shared" si="14"/>
        <v>165.30209475400372</v>
      </c>
      <c r="O93" s="66">
        <f t="shared" si="14"/>
        <v>181.89330782364917</v>
      </c>
      <c r="P93" s="66">
        <f t="shared" si="14"/>
        <v>199.06429829681852</v>
      </c>
      <c r="Q93" s="66">
        <f t="shared" si="14"/>
        <v>216.85154854118673</v>
      </c>
      <c r="R93" s="66">
        <f t="shared" si="14"/>
        <v>235.29314023788754</v>
      </c>
      <c r="S93" s="66">
        <f t="shared" si="14"/>
        <v>254.42884109133414</v>
      </c>
      <c r="T93" s="66">
        <f t="shared" si="14"/>
        <v>274.30019567220648</v>
      </c>
      <c r="U93" s="66">
        <f t="shared" si="14"/>
        <v>294.9506206063333</v>
      </c>
      <c r="V93" s="66">
        <f t="shared" si="14"/>
        <v>316.42550433265097</v>
      </c>
      <c r="W93" s="66">
        <f t="shared" si="14"/>
        <v>338.77231166440447</v>
      </c>
      <c r="X93" s="66">
        <f t="shared" si="14"/>
        <v>362.04069339929202</v>
      </c>
      <c r="Y93" s="66">
        <f t="shared" si="14"/>
        <v>386.28260123637392</v>
      </c>
      <c r="Z93" s="66">
        <f t="shared" si="14"/>
        <v>411.55240827029638</v>
      </c>
    </row>
    <row r="94" spans="1:26" ht="15" hidden="1" customHeight="1" outlineLevel="1" x14ac:dyDescent="0.3">
      <c r="A94" s="64" t="s">
        <v>482</v>
      </c>
      <c r="B94" s="65">
        <f>-$I$80</f>
        <v>-900000000</v>
      </c>
      <c r="C94" s="65">
        <f t="shared" ref="C94:Z94" si="15">C93*($B$80-$C$80)-C92*$G$80-$H$80</f>
        <v>-275236345.088</v>
      </c>
      <c r="D94" s="65">
        <f t="shared" si="15"/>
        <v>-247217417.07776001</v>
      </c>
      <c r="E94" s="65">
        <f t="shared" si="15"/>
        <v>-218750965.0249472</v>
      </c>
      <c r="F94" s="65">
        <f t="shared" si="15"/>
        <v>-189786010.05669481</v>
      </c>
      <c r="G94" s="65">
        <f t="shared" si="15"/>
        <v>-160269882.43661475</v>
      </c>
      <c r="H94" s="65">
        <f t="shared" si="15"/>
        <v>-130148111.2792182</v>
      </c>
      <c r="I94" s="65">
        <f t="shared" si="15"/>
        <v>-99364309.522328585</v>
      </c>
      <c r="J94" s="65">
        <f t="shared" si="15"/>
        <v>-67860053.897220016</v>
      </c>
      <c r="K94" s="65">
        <f t="shared" si="15"/>
        <v>-35574759.623892725</v>
      </c>
      <c r="L94" s="65">
        <f t="shared" si="15"/>
        <v>-2445549.5459447205</v>
      </c>
      <c r="M94" s="65">
        <f t="shared" si="15"/>
        <v>31592882.594126374</v>
      </c>
      <c r="N94" s="65">
        <f t="shared" si="15"/>
        <v>66608415.052680016</v>
      </c>
      <c r="O94" s="65">
        <f t="shared" si="15"/>
        <v>102671647.4842959</v>
      </c>
      <c r="P94" s="65">
        <f t="shared" si="15"/>
        <v>139856057.18712318</v>
      </c>
      <c r="Q94" s="65">
        <f t="shared" si="15"/>
        <v>178238162.5552333</v>
      </c>
      <c r="R94" s="65">
        <f t="shared" si="15"/>
        <v>217897694.11648631</v>
      </c>
      <c r="S94" s="65">
        <f t="shared" si="15"/>
        <v>258917773.55279732</v>
      </c>
      <c r="T94" s="65">
        <f t="shared" si="15"/>
        <v>301385101.11900914</v>
      </c>
      <c r="U94" s="65">
        <f t="shared" si="15"/>
        <v>345390151.89687443</v>
      </c>
      <c r="V94" s="65">
        <f t="shared" si="15"/>
        <v>391027381.34197569</v>
      </c>
      <c r="W94" s="65">
        <f t="shared" si="15"/>
        <v>438395440.60382426</v>
      </c>
      <c r="X94" s="65">
        <f t="shared" si="15"/>
        <v>487597402.12292266</v>
      </c>
      <c r="Y94" s="65">
        <f t="shared" si="15"/>
        <v>538740996.03330874</v>
      </c>
      <c r="Z94" s="65">
        <f t="shared" si="15"/>
        <v>591938857.92508698</v>
      </c>
    </row>
    <row r="95" spans="1:26" ht="15" hidden="1" customHeight="1" outlineLevel="1" x14ac:dyDescent="0.3">
      <c r="A95" s="64" t="s">
        <v>483</v>
      </c>
      <c r="B95" s="65">
        <f>$J$80+B94</f>
        <v>1600000000</v>
      </c>
      <c r="C95" s="65">
        <f t="shared" ref="C95:Z95" si="16">B95+C94</f>
        <v>1324763654.9119999</v>
      </c>
      <c r="D95" s="65">
        <f t="shared" si="16"/>
        <v>1077546237.83424</v>
      </c>
      <c r="E95" s="65">
        <f t="shared" si="16"/>
        <v>858795272.80929279</v>
      </c>
      <c r="F95" s="65">
        <f t="shared" si="16"/>
        <v>669009262.75259805</v>
      </c>
      <c r="G95" s="65">
        <f t="shared" si="16"/>
        <v>508739380.3159833</v>
      </c>
      <c r="H95" s="65">
        <f t="shared" si="16"/>
        <v>378591269.0367651</v>
      </c>
      <c r="I95" s="65">
        <f t="shared" si="16"/>
        <v>279226959.51443648</v>
      </c>
      <c r="J95" s="65">
        <f t="shared" si="16"/>
        <v>211366905.61721647</v>
      </c>
      <c r="K95" s="65">
        <f t="shared" si="16"/>
        <v>175792145.99332374</v>
      </c>
      <c r="L95" s="65">
        <f t="shared" si="16"/>
        <v>173346596.44737902</v>
      </c>
      <c r="M95" s="65">
        <f t="shared" si="16"/>
        <v>204939479.0415054</v>
      </c>
      <c r="N95" s="65">
        <f t="shared" si="16"/>
        <v>271547894.09418541</v>
      </c>
      <c r="O95" s="65">
        <f t="shared" si="16"/>
        <v>374219541.57848132</v>
      </c>
      <c r="P95" s="65">
        <f t="shared" si="16"/>
        <v>514075598.7656045</v>
      </c>
      <c r="Q95" s="65">
        <f t="shared" si="16"/>
        <v>692313761.32083774</v>
      </c>
      <c r="R95" s="65">
        <f t="shared" si="16"/>
        <v>910211455.43732405</v>
      </c>
      <c r="S95" s="65">
        <f t="shared" si="16"/>
        <v>1169129228.9901214</v>
      </c>
      <c r="T95" s="65">
        <f t="shared" si="16"/>
        <v>1470514330.1091304</v>
      </c>
      <c r="U95" s="65">
        <f t="shared" si="16"/>
        <v>1815904482.0060048</v>
      </c>
      <c r="V95" s="65">
        <f t="shared" si="16"/>
        <v>2206931863.3479805</v>
      </c>
      <c r="W95" s="65">
        <f t="shared" si="16"/>
        <v>2645327303.9518046</v>
      </c>
      <c r="X95" s="65">
        <f t="shared" si="16"/>
        <v>3132924706.0747271</v>
      </c>
      <c r="Y95" s="65">
        <f t="shared" si="16"/>
        <v>3671665702.108036</v>
      </c>
      <c r="Z95" s="65">
        <f t="shared" si="16"/>
        <v>4263604560.033123</v>
      </c>
    </row>
    <row r="96" spans="1:26" ht="15" hidden="1" customHeight="1" outlineLevel="1" x14ac:dyDescent="0.3">
      <c r="A96" s="64" t="s">
        <v>484</v>
      </c>
      <c r="B96" s="65">
        <f>B94</f>
        <v>-900000000</v>
      </c>
      <c r="C96" s="65">
        <f t="shared" ref="C96:Z96" si="17">B96+C94</f>
        <v>-1175236345.0880001</v>
      </c>
      <c r="D96" s="65">
        <f t="shared" si="17"/>
        <v>-1422453762.16576</v>
      </c>
      <c r="E96" s="65">
        <f t="shared" si="17"/>
        <v>-1641204727.1907072</v>
      </c>
      <c r="F96" s="65">
        <f t="shared" si="17"/>
        <v>-1830990737.247402</v>
      </c>
      <c r="G96" s="65">
        <f t="shared" si="17"/>
        <v>-1991260619.6840167</v>
      </c>
      <c r="H96" s="65">
        <f t="shared" si="17"/>
        <v>-2121408730.9632349</v>
      </c>
      <c r="I96" s="65">
        <f t="shared" si="17"/>
        <v>-2220773040.4855633</v>
      </c>
      <c r="J96" s="65">
        <f t="shared" si="17"/>
        <v>-2288633094.3827834</v>
      </c>
      <c r="K96" s="65">
        <f t="shared" si="17"/>
        <v>-2324207854.0066762</v>
      </c>
      <c r="L96" s="65">
        <f t="shared" si="17"/>
        <v>-2326653403.5526209</v>
      </c>
      <c r="M96" s="65">
        <f t="shared" si="17"/>
        <v>-2295060520.9584947</v>
      </c>
      <c r="N96" s="65">
        <f t="shared" si="17"/>
        <v>-2228452105.9058146</v>
      </c>
      <c r="O96" s="65">
        <f t="shared" si="17"/>
        <v>-2125780458.4215188</v>
      </c>
      <c r="P96" s="65">
        <f t="shared" si="17"/>
        <v>-1985924401.2343955</v>
      </c>
      <c r="Q96" s="65">
        <f t="shared" si="17"/>
        <v>-1807686238.6791623</v>
      </c>
      <c r="R96" s="65">
        <f t="shared" si="17"/>
        <v>-1589788544.562676</v>
      </c>
      <c r="S96" s="65">
        <f t="shared" si="17"/>
        <v>-1330870771.0098786</v>
      </c>
      <c r="T96" s="65">
        <f t="shared" si="17"/>
        <v>-1029485669.8908695</v>
      </c>
      <c r="U96" s="65">
        <f t="shared" si="17"/>
        <v>-684095517.99399507</v>
      </c>
      <c r="V96" s="65">
        <f t="shared" si="17"/>
        <v>-293068136.65201938</v>
      </c>
      <c r="W96" s="65">
        <f t="shared" si="17"/>
        <v>145327303.95180488</v>
      </c>
      <c r="X96" s="65">
        <f t="shared" si="17"/>
        <v>632924706.07472754</v>
      </c>
      <c r="Y96" s="65">
        <f t="shared" si="17"/>
        <v>1171665702.1080363</v>
      </c>
      <c r="Z96" s="65">
        <f t="shared" si="17"/>
        <v>1763604560.0331233</v>
      </c>
    </row>
    <row r="97" spans="1:26" ht="15" hidden="1" customHeight="1" outlineLevel="1" x14ac:dyDescent="0.3"/>
    <row r="98" spans="1:26" ht="15" hidden="1" customHeight="1" outlineLevel="1" x14ac:dyDescent="0.3">
      <c r="A98" s="64" t="s">
        <v>485</v>
      </c>
      <c r="C98" s="66">
        <f>$D$81*(1+$E$81)^0</f>
        <v>12</v>
      </c>
      <c r="D98" s="66">
        <f>$D$81*(1+$E$81)^1</f>
        <v>12.600000000000001</v>
      </c>
      <c r="E98" s="66">
        <f>$D$81*(1+$E$81)^2</f>
        <v>13.23</v>
      </c>
      <c r="F98" s="66">
        <f>$D$81*(1+$E$81)^3</f>
        <v>13.891500000000001</v>
      </c>
      <c r="G98" s="66">
        <f>$D$81*(1+$E$81)^4</f>
        <v>14.586075000000001</v>
      </c>
      <c r="H98" s="66">
        <f>$D$81*(1+$E$81)^5</f>
        <v>15.315378750000001</v>
      </c>
      <c r="I98" s="66">
        <f>$D$81*(1+$E$81)^6</f>
        <v>16.0811476875</v>
      </c>
      <c r="J98" s="66">
        <f>$D$81*(1+$E$81)^7</f>
        <v>16.885205071875003</v>
      </c>
      <c r="K98" s="66">
        <f>$D$81*(1+$E$81)^8</f>
        <v>17.729465325468752</v>
      </c>
      <c r="L98" s="66">
        <f>$D$81*(1+$E$81)^9</f>
        <v>18.615938591742189</v>
      </c>
      <c r="M98" s="66">
        <f>$D$81*(1+$E$81)^10</f>
        <v>19.5467355213293</v>
      </c>
      <c r="N98" s="66">
        <f>$D$81*(1+$E$81)^11</f>
        <v>20.524072297395765</v>
      </c>
      <c r="O98" s="66">
        <f>$D$81*(1+$E$81)^12</f>
        <v>21.550275912265551</v>
      </c>
      <c r="P98" s="66">
        <f>$D$81*(1+$E$81)^13</f>
        <v>22.627789707878833</v>
      </c>
      <c r="Q98" s="66">
        <f>$D$81*(1+$E$81)^14</f>
        <v>23.759179193272768</v>
      </c>
      <c r="R98" s="66">
        <f>$D$81*(1+$E$81)^15</f>
        <v>24.947138152936414</v>
      </c>
      <c r="S98" s="66">
        <f>$D$81*(1+$E$81)^16</f>
        <v>26.194495060583233</v>
      </c>
      <c r="T98" s="66">
        <f>$D$81*(1+$E$81)^17</f>
        <v>27.504219813612398</v>
      </c>
      <c r="U98" s="66">
        <f>$D$81*(1+$E$81)^18</f>
        <v>28.879430804293015</v>
      </c>
      <c r="V98" s="66">
        <f>$D$81*(1+$E$81)^19</f>
        <v>30.32340234450767</v>
      </c>
      <c r="W98" s="66">
        <f>$D$81*(1+$E$81)^20</f>
        <v>31.839572461733049</v>
      </c>
      <c r="X98" s="66">
        <f>$D$81*(1+$E$81)^21</f>
        <v>33.431551084819702</v>
      </c>
      <c r="Y98" s="66">
        <f>$D$81*(1+$E$81)^22</f>
        <v>35.103128639060685</v>
      </c>
      <c r="Z98" s="66">
        <f>$D$81*(1+$E$81)^23</f>
        <v>36.858285071013725</v>
      </c>
    </row>
    <row r="99" spans="1:26" ht="15" hidden="1" customHeight="1" outlineLevel="1" x14ac:dyDescent="0.3">
      <c r="A99" s="64" t="s">
        <v>486</v>
      </c>
      <c r="B99" s="64">
        <v>0</v>
      </c>
      <c r="C99" s="66">
        <f t="shared" ref="C99:Z99" si="18">B99*(1-$F$81)+C98</f>
        <v>12</v>
      </c>
      <c r="D99" s="66">
        <f t="shared" si="18"/>
        <v>24.240000000000002</v>
      </c>
      <c r="E99" s="66">
        <f t="shared" si="18"/>
        <v>36.742800000000003</v>
      </c>
      <c r="F99" s="66">
        <f t="shared" si="18"/>
        <v>49.532015999999999</v>
      </c>
      <c r="G99" s="66">
        <f t="shared" si="18"/>
        <v>62.632130519999997</v>
      </c>
      <c r="H99" s="66">
        <f t="shared" si="18"/>
        <v>76.068545354399987</v>
      </c>
      <c r="I99" s="66">
        <f t="shared" si="18"/>
        <v>89.867636681267982</v>
      </c>
      <c r="J99" s="66">
        <f t="shared" si="18"/>
        <v>104.05681265270495</v>
      </c>
      <c r="K99" s="66">
        <f t="shared" si="18"/>
        <v>118.66457359859255</v>
      </c>
      <c r="L99" s="66">
        <f t="shared" si="18"/>
        <v>133.72057498237697</v>
      </c>
      <c r="M99" s="66">
        <f t="shared" si="18"/>
        <v>149.25569325423498</v>
      </c>
      <c r="N99" s="66">
        <f t="shared" si="18"/>
        <v>165.30209475400372</v>
      </c>
      <c r="O99" s="66">
        <f t="shared" si="18"/>
        <v>181.89330782364917</v>
      </c>
      <c r="P99" s="66">
        <f t="shared" si="18"/>
        <v>199.06429829681852</v>
      </c>
      <c r="Q99" s="66">
        <f t="shared" si="18"/>
        <v>216.85154854118673</v>
      </c>
      <c r="R99" s="66">
        <f t="shared" si="18"/>
        <v>235.29314023788754</v>
      </c>
      <c r="S99" s="66">
        <f t="shared" si="18"/>
        <v>254.42884109133414</v>
      </c>
      <c r="T99" s="66">
        <f t="shared" si="18"/>
        <v>274.30019567220648</v>
      </c>
      <c r="U99" s="66">
        <f t="shared" si="18"/>
        <v>294.9506206063333</v>
      </c>
      <c r="V99" s="66">
        <f t="shared" si="18"/>
        <v>316.42550433265097</v>
      </c>
      <c r="W99" s="66">
        <f t="shared" si="18"/>
        <v>338.77231166440447</v>
      </c>
      <c r="X99" s="66">
        <f t="shared" si="18"/>
        <v>362.04069339929202</v>
      </c>
      <c r="Y99" s="66">
        <f t="shared" si="18"/>
        <v>386.28260123637392</v>
      </c>
      <c r="Z99" s="66">
        <f t="shared" si="18"/>
        <v>411.55240827029638</v>
      </c>
    </row>
    <row r="100" spans="1:26" ht="15" hidden="1" customHeight="1" outlineLevel="1" x14ac:dyDescent="0.3">
      <c r="A100" s="64" t="s">
        <v>487</v>
      </c>
      <c r="B100" s="65">
        <f>-$I$81</f>
        <v>-900000000</v>
      </c>
      <c r="C100" s="65">
        <f t="shared" ref="C100:Z100" si="19">C99*($B$81-$C$81)-C98*$G$81-$H$81</f>
        <v>-284764345.088</v>
      </c>
      <c r="D100" s="65">
        <f t="shared" si="19"/>
        <v>-266463977.07776001</v>
      </c>
      <c r="E100" s="65">
        <f t="shared" si="19"/>
        <v>-247924748.22494721</v>
      </c>
      <c r="F100" s="65">
        <f t="shared" si="19"/>
        <v>-229114430.7606948</v>
      </c>
      <c r="G100" s="65">
        <f t="shared" si="19"/>
        <v>-209999794.06949478</v>
      </c>
      <c r="H100" s="65">
        <f t="shared" si="19"/>
        <v>-190546536.29061177</v>
      </c>
      <c r="I100" s="65">
        <f t="shared" si="19"/>
        <v>-170719213.04725537</v>
      </c>
      <c r="J100" s="65">
        <f t="shared" si="19"/>
        <v>-150481163.14346775</v>
      </c>
      <c r="K100" s="65">
        <f t="shared" si="19"/>
        <v>-129794431.06117523</v>
      </c>
      <c r="L100" s="65">
        <f t="shared" si="19"/>
        <v>-108619686.08195207</v>
      </c>
      <c r="M100" s="65">
        <f t="shared" si="19"/>
        <v>-86916137.849736184</v>
      </c>
      <c r="N100" s="65">
        <f t="shared" si="19"/>
        <v>-64641448.181998909</v>
      </c>
      <c r="O100" s="65">
        <f t="shared" si="19"/>
        <v>-41751638.927681506</v>
      </c>
      <c r="P100" s="65">
        <f t="shared" si="19"/>
        <v>-18200995.660550803</v>
      </c>
      <c r="Q100" s="65">
        <f t="shared" si="19"/>
        <v>6058033.0135310292</v>
      </c>
      <c r="R100" s="65">
        <f t="shared" si="19"/>
        <v>31074940.767603606</v>
      </c>
      <c r="S100" s="65">
        <f t="shared" si="19"/>
        <v>56901273.726278007</v>
      </c>
      <c r="T100" s="65">
        <f t="shared" si="19"/>
        <v>83590745.755277157</v>
      </c>
      <c r="U100" s="65">
        <f t="shared" si="19"/>
        <v>111199359.13544589</v>
      </c>
      <c r="V100" s="65">
        <f t="shared" si="19"/>
        <v>139785530.90185082</v>
      </c>
      <c r="W100" s="65">
        <f t="shared" si="19"/>
        <v>169410225.14228702</v>
      </c>
      <c r="X100" s="65">
        <f t="shared" si="19"/>
        <v>200137091.56388474</v>
      </c>
      <c r="Y100" s="65">
        <f t="shared" si="19"/>
        <v>232032610.6516279</v>
      </c>
      <c r="Z100" s="65">
        <f t="shared" si="19"/>
        <v>265166245.75847155</v>
      </c>
    </row>
    <row r="101" spans="1:26" ht="15" hidden="1" customHeight="1" outlineLevel="1" x14ac:dyDescent="0.3">
      <c r="A101" s="64" t="s">
        <v>488</v>
      </c>
      <c r="B101" s="65">
        <f>$J$81+B100</f>
        <v>1600000000</v>
      </c>
      <c r="C101" s="65">
        <f t="shared" ref="C101:Z101" si="20">B101+C100</f>
        <v>1315235654.9119999</v>
      </c>
      <c r="D101" s="65">
        <f t="shared" si="20"/>
        <v>1048771677.83424</v>
      </c>
      <c r="E101" s="65">
        <f t="shared" si="20"/>
        <v>800846929.60929275</v>
      </c>
      <c r="F101" s="65">
        <f t="shared" si="20"/>
        <v>571732498.848598</v>
      </c>
      <c r="G101" s="65">
        <f t="shared" si="20"/>
        <v>361732704.77910322</v>
      </c>
      <c r="H101" s="65">
        <f t="shared" si="20"/>
        <v>171186168.48849145</v>
      </c>
      <c r="I101" s="65">
        <f t="shared" si="20"/>
        <v>466955.44123607874</v>
      </c>
      <c r="J101" s="65">
        <f t="shared" si="20"/>
        <v>-150014207.70223168</v>
      </c>
      <c r="K101" s="65">
        <f t="shared" si="20"/>
        <v>-279808638.76340687</v>
      </c>
      <c r="L101" s="65">
        <f t="shared" si="20"/>
        <v>-388428324.84535897</v>
      </c>
      <c r="M101" s="65">
        <f t="shared" si="20"/>
        <v>-475344462.69509518</v>
      </c>
      <c r="N101" s="65">
        <f t="shared" si="20"/>
        <v>-539985910.87709403</v>
      </c>
      <c r="O101" s="65">
        <f t="shared" si="20"/>
        <v>-581737549.80477548</v>
      </c>
      <c r="P101" s="65">
        <f t="shared" si="20"/>
        <v>-599938545.46532631</v>
      </c>
      <c r="Q101" s="65">
        <f t="shared" si="20"/>
        <v>-593880512.45179534</v>
      </c>
      <c r="R101" s="65">
        <f t="shared" si="20"/>
        <v>-562805571.6841917</v>
      </c>
      <c r="S101" s="65">
        <f t="shared" si="20"/>
        <v>-505904297.9579137</v>
      </c>
      <c r="T101" s="65">
        <f t="shared" si="20"/>
        <v>-422313552.20263654</v>
      </c>
      <c r="U101" s="65">
        <f t="shared" si="20"/>
        <v>-311114193.06719065</v>
      </c>
      <c r="V101" s="65">
        <f t="shared" si="20"/>
        <v>-171328662.16533983</v>
      </c>
      <c r="W101" s="65">
        <f t="shared" si="20"/>
        <v>-1918437.0230528116</v>
      </c>
      <c r="X101" s="65">
        <f t="shared" si="20"/>
        <v>198218654.54083192</v>
      </c>
      <c r="Y101" s="65">
        <f t="shared" si="20"/>
        <v>430251265.19245982</v>
      </c>
      <c r="Z101" s="65">
        <f t="shared" si="20"/>
        <v>695417510.95093131</v>
      </c>
    </row>
    <row r="102" spans="1:26" ht="15" hidden="1" customHeight="1" outlineLevel="1" x14ac:dyDescent="0.3">
      <c r="A102" s="64" t="s">
        <v>489</v>
      </c>
      <c r="B102" s="65">
        <f>B100</f>
        <v>-900000000</v>
      </c>
      <c r="C102" s="65">
        <f t="shared" ref="C102:Z102" si="21">B102+C100</f>
        <v>-1184764345.0880001</v>
      </c>
      <c r="D102" s="65">
        <f t="shared" si="21"/>
        <v>-1451228322.16576</v>
      </c>
      <c r="E102" s="65">
        <f t="shared" si="21"/>
        <v>-1699153070.3907073</v>
      </c>
      <c r="F102" s="65">
        <f t="shared" si="21"/>
        <v>-1928267501.151402</v>
      </c>
      <c r="G102" s="65">
        <f t="shared" si="21"/>
        <v>-2138267295.2208967</v>
      </c>
      <c r="H102" s="65">
        <f t="shared" si="21"/>
        <v>-2328813831.5115085</v>
      </c>
      <c r="I102" s="65">
        <f t="shared" si="21"/>
        <v>-2499533044.558764</v>
      </c>
      <c r="J102" s="65">
        <f t="shared" si="21"/>
        <v>-2650014207.7022319</v>
      </c>
      <c r="K102" s="65">
        <f t="shared" si="21"/>
        <v>-2779808638.7634072</v>
      </c>
      <c r="L102" s="65">
        <f t="shared" si="21"/>
        <v>-2888428324.8453593</v>
      </c>
      <c r="M102" s="65">
        <f t="shared" si="21"/>
        <v>-2975344462.6950955</v>
      </c>
      <c r="N102" s="65">
        <f t="shared" si="21"/>
        <v>-3039985910.8770943</v>
      </c>
      <c r="O102" s="65">
        <f t="shared" si="21"/>
        <v>-3081737549.8047757</v>
      </c>
      <c r="P102" s="65">
        <f t="shared" si="21"/>
        <v>-3099938545.4653263</v>
      </c>
      <c r="Q102" s="65">
        <f t="shared" si="21"/>
        <v>-3093880512.4517951</v>
      </c>
      <c r="R102" s="65">
        <f t="shared" si="21"/>
        <v>-3062805571.6841917</v>
      </c>
      <c r="S102" s="65">
        <f t="shared" si="21"/>
        <v>-3005904297.9579139</v>
      </c>
      <c r="T102" s="65">
        <f t="shared" si="21"/>
        <v>-2922313552.2026367</v>
      </c>
      <c r="U102" s="65">
        <f t="shared" si="21"/>
        <v>-2811114193.0671906</v>
      </c>
      <c r="V102" s="65">
        <f t="shared" si="21"/>
        <v>-2671328662.1653399</v>
      </c>
      <c r="W102" s="65">
        <f t="shared" si="21"/>
        <v>-2501918437.0230532</v>
      </c>
      <c r="X102" s="65">
        <f t="shared" si="21"/>
        <v>-2301781345.4591684</v>
      </c>
      <c r="Y102" s="65">
        <f t="shared" si="21"/>
        <v>-2069748734.8075404</v>
      </c>
      <c r="Z102" s="65">
        <f t="shared" si="21"/>
        <v>-1804582489.0490689</v>
      </c>
    </row>
    <row r="103" spans="1:26" ht="15" hidden="1" customHeight="1" outlineLevel="1" x14ac:dyDescent="0.3"/>
    <row r="104" spans="1:26" ht="15" hidden="1" customHeight="1" outlineLevel="1" x14ac:dyDescent="0.3">
      <c r="A104" s="64" t="s">
        <v>490</v>
      </c>
      <c r="C104" s="66">
        <f>$D$82*(1+$E$82)^0</f>
        <v>12</v>
      </c>
      <c r="D104" s="66">
        <f>$D$82*(1+$E$82)^1</f>
        <v>12.600000000000001</v>
      </c>
      <c r="E104" s="66">
        <f>$D$82*(1+$E$82)^2</f>
        <v>13.23</v>
      </c>
      <c r="F104" s="66">
        <f>$D$82*(1+$E$82)^3</f>
        <v>13.891500000000001</v>
      </c>
      <c r="G104" s="66">
        <f>$D$82*(1+$E$82)^4</f>
        <v>14.586075000000001</v>
      </c>
      <c r="H104" s="66">
        <f>$D$82*(1+$E$82)^5</f>
        <v>15.315378750000001</v>
      </c>
      <c r="I104" s="66">
        <f>$D$82*(1+$E$82)^6</f>
        <v>16.0811476875</v>
      </c>
      <c r="J104" s="66">
        <f>$D$82*(1+$E$82)^7</f>
        <v>16.885205071875003</v>
      </c>
      <c r="K104" s="66">
        <f>$D$82*(1+$E$82)^8</f>
        <v>17.729465325468752</v>
      </c>
      <c r="L104" s="66">
        <f>$D$82*(1+$E$82)^9</f>
        <v>18.615938591742189</v>
      </c>
      <c r="M104" s="66">
        <f>$D$82*(1+$E$82)^10</f>
        <v>19.5467355213293</v>
      </c>
      <c r="N104" s="66">
        <f>$D$82*(1+$E$82)^11</f>
        <v>20.524072297395765</v>
      </c>
      <c r="O104" s="66">
        <f>$D$82*(1+$E$82)^12</f>
        <v>21.550275912265551</v>
      </c>
      <c r="P104" s="66">
        <f>$D$82*(1+$E$82)^13</f>
        <v>22.627789707878833</v>
      </c>
      <c r="Q104" s="66">
        <f>$D$82*(1+$E$82)^14</f>
        <v>23.759179193272768</v>
      </c>
      <c r="R104" s="66">
        <f>$D$82*(1+$E$82)^15</f>
        <v>24.947138152936414</v>
      </c>
      <c r="S104" s="66">
        <f>$D$82*(1+$E$82)^16</f>
        <v>26.194495060583233</v>
      </c>
      <c r="T104" s="66">
        <f>$D$82*(1+$E$82)^17</f>
        <v>27.504219813612398</v>
      </c>
      <c r="U104" s="66">
        <f>$D$82*(1+$E$82)^18</f>
        <v>28.879430804293015</v>
      </c>
      <c r="V104" s="66">
        <f>$D$82*(1+$E$82)^19</f>
        <v>30.32340234450767</v>
      </c>
      <c r="W104" s="66">
        <f>$D$82*(1+$E$82)^20</f>
        <v>31.839572461733049</v>
      </c>
      <c r="X104" s="66">
        <f>$D$82*(1+$E$82)^21</f>
        <v>33.431551084819702</v>
      </c>
      <c r="Y104" s="66">
        <f>$D$82*(1+$E$82)^22</f>
        <v>35.103128639060685</v>
      </c>
      <c r="Z104" s="66">
        <f>$D$82*(1+$E$82)^23</f>
        <v>36.858285071013725</v>
      </c>
    </row>
    <row r="105" spans="1:26" ht="15" hidden="1" customHeight="1" outlineLevel="1" x14ac:dyDescent="0.3">
      <c r="A105" s="64" t="s">
        <v>491</v>
      </c>
      <c r="B105" s="64">
        <v>0</v>
      </c>
      <c r="C105" s="66">
        <f t="shared" ref="C105:Z105" si="22">B105*(1-$F$82)+C104</f>
        <v>12</v>
      </c>
      <c r="D105" s="66">
        <f t="shared" si="22"/>
        <v>24.240000000000002</v>
      </c>
      <c r="E105" s="66">
        <f t="shared" si="22"/>
        <v>36.742800000000003</v>
      </c>
      <c r="F105" s="66">
        <f t="shared" si="22"/>
        <v>49.532015999999999</v>
      </c>
      <c r="G105" s="66">
        <f t="shared" si="22"/>
        <v>62.632130519999997</v>
      </c>
      <c r="H105" s="66">
        <f t="shared" si="22"/>
        <v>76.068545354399987</v>
      </c>
      <c r="I105" s="66">
        <f t="shared" si="22"/>
        <v>89.867636681267982</v>
      </c>
      <c r="J105" s="66">
        <f t="shared" si="22"/>
        <v>104.05681265270495</v>
      </c>
      <c r="K105" s="66">
        <f t="shared" si="22"/>
        <v>118.66457359859255</v>
      </c>
      <c r="L105" s="66">
        <f t="shared" si="22"/>
        <v>133.72057498237697</v>
      </c>
      <c r="M105" s="66">
        <f t="shared" si="22"/>
        <v>149.25569325423498</v>
      </c>
      <c r="N105" s="66">
        <f t="shared" si="22"/>
        <v>165.30209475400372</v>
      </c>
      <c r="O105" s="66">
        <f t="shared" si="22"/>
        <v>181.89330782364917</v>
      </c>
      <c r="P105" s="66">
        <f t="shared" si="22"/>
        <v>199.06429829681852</v>
      </c>
      <c r="Q105" s="66">
        <f t="shared" si="22"/>
        <v>216.85154854118673</v>
      </c>
      <c r="R105" s="66">
        <f t="shared" si="22"/>
        <v>235.29314023788754</v>
      </c>
      <c r="S105" s="66">
        <f t="shared" si="22"/>
        <v>254.42884109133414</v>
      </c>
      <c r="T105" s="66">
        <f t="shared" si="22"/>
        <v>274.30019567220648</v>
      </c>
      <c r="U105" s="66">
        <f t="shared" si="22"/>
        <v>294.9506206063333</v>
      </c>
      <c r="V105" s="66">
        <f t="shared" si="22"/>
        <v>316.42550433265097</v>
      </c>
      <c r="W105" s="66">
        <f t="shared" si="22"/>
        <v>338.77231166440447</v>
      </c>
      <c r="X105" s="66">
        <f t="shared" si="22"/>
        <v>362.04069339929202</v>
      </c>
      <c r="Y105" s="66">
        <f t="shared" si="22"/>
        <v>386.28260123637392</v>
      </c>
      <c r="Z105" s="66">
        <f t="shared" si="22"/>
        <v>411.55240827029638</v>
      </c>
    </row>
    <row r="106" spans="1:26" ht="15" hidden="1" customHeight="1" outlineLevel="1" x14ac:dyDescent="0.3">
      <c r="A106" s="64" t="s">
        <v>492</v>
      </c>
      <c r="B106" s="65">
        <f>-$I$82</f>
        <v>-900000000</v>
      </c>
      <c r="C106" s="65">
        <f t="shared" ref="C106:Z106" si="23">C105*($B$82-$C$82)-C104*$G$82-$H$82</f>
        <v>-278211614.1056</v>
      </c>
      <c r="D106" s="65">
        <f t="shared" si="23"/>
        <v>-253227460.493312</v>
      </c>
      <c r="E106" s="65">
        <f t="shared" si="23"/>
        <v>-227860941.22993663</v>
      </c>
      <c r="F106" s="65">
        <f t="shared" si="23"/>
        <v>-202066932.77203375</v>
      </c>
      <c r="G106" s="65">
        <f t="shared" si="23"/>
        <v>-175798835.55681771</v>
      </c>
      <c r="H106" s="65">
        <f t="shared" si="23"/>
        <v>-149008476.79645538</v>
      </c>
      <c r="I106" s="65">
        <f t="shared" si="23"/>
        <v>-121646009.11422107</v>
      </c>
      <c r="J106" s="65">
        <f t="shared" si="23"/>
        <v>-93659804.793536723</v>
      </c>
      <c r="K106" s="65">
        <f t="shared" si="23"/>
        <v>-64996345.400110006</v>
      </c>
      <c r="L106" s="65">
        <f t="shared" si="23"/>
        <v>-35600106.526005059</v>
      </c>
      <c r="M106" s="65">
        <f t="shared" si="23"/>
        <v>-5413437.3925181329</v>
      </c>
      <c r="N106" s="65">
        <f t="shared" si="23"/>
        <v>25623564.963849485</v>
      </c>
      <c r="O106" s="65">
        <f t="shared" si="23"/>
        <v>57573187.211255729</v>
      </c>
      <c r="P106" s="65">
        <f t="shared" si="23"/>
        <v>90500237.251055717</v>
      </c>
      <c r="Q106" s="65">
        <f t="shared" si="23"/>
        <v>124472188.0724687</v>
      </c>
      <c r="R106" s="65">
        <f t="shared" si="23"/>
        <v>159559328.26618648</v>
      </c>
      <c r="S106" s="65">
        <f t="shared" si="23"/>
        <v>195834919.54588735</v>
      </c>
      <c r="T106" s="65">
        <f t="shared" si="23"/>
        <v>233375361.64358139</v>
      </c>
      <c r="U106" s="65">
        <f t="shared" si="23"/>
        <v>272260364.96254832</v>
      </c>
      <c r="V106" s="65">
        <f t="shared" si="23"/>
        <v>312573131.39035988</v>
      </c>
      <c r="W106" s="65">
        <f t="shared" si="23"/>
        <v>354400543.69417143</v>
      </c>
      <c r="X106" s="65">
        <f t="shared" si="23"/>
        <v>397833363.94114482</v>
      </c>
      <c r="Y106" s="65">
        <f t="shared" si="23"/>
        <v>442966441.4085989</v>
      </c>
      <c r="Z106" s="65">
        <f t="shared" si="23"/>
        <v>489898930.47131371</v>
      </c>
    </row>
    <row r="107" spans="1:26" ht="15" hidden="1" customHeight="1" outlineLevel="1" x14ac:dyDescent="0.3">
      <c r="A107" s="64" t="s">
        <v>493</v>
      </c>
      <c r="B107" s="65">
        <f>$J$82+B106</f>
        <v>1600000000</v>
      </c>
      <c r="C107" s="65">
        <f t="shared" ref="C107:Z107" si="24">B107+C106</f>
        <v>1321788385.8944001</v>
      </c>
      <c r="D107" s="65">
        <f t="shared" si="24"/>
        <v>1068560925.4010881</v>
      </c>
      <c r="E107" s="65">
        <f t="shared" si="24"/>
        <v>840699984.17115152</v>
      </c>
      <c r="F107" s="65">
        <f t="shared" si="24"/>
        <v>638633051.39911771</v>
      </c>
      <c r="G107" s="65">
        <f t="shared" si="24"/>
        <v>462834215.8423</v>
      </c>
      <c r="H107" s="65">
        <f t="shared" si="24"/>
        <v>313825739.04584461</v>
      </c>
      <c r="I107" s="65">
        <f t="shared" si="24"/>
        <v>192179729.93162355</v>
      </c>
      <c r="J107" s="65">
        <f t="shared" si="24"/>
        <v>98519925.138086826</v>
      </c>
      <c r="K107" s="65">
        <f t="shared" si="24"/>
        <v>33523579.737976819</v>
      </c>
      <c r="L107" s="65">
        <f t="shared" si="24"/>
        <v>-2076526.7880282402</v>
      </c>
      <c r="M107" s="65">
        <f t="shared" si="24"/>
        <v>-7489964.1805463731</v>
      </c>
      <c r="N107" s="65">
        <f t="shared" si="24"/>
        <v>18133600.783303112</v>
      </c>
      <c r="O107" s="65">
        <f t="shared" si="24"/>
        <v>75706787.994558841</v>
      </c>
      <c r="P107" s="65">
        <f t="shared" si="24"/>
        <v>166207025.24561456</v>
      </c>
      <c r="Q107" s="65">
        <f t="shared" si="24"/>
        <v>290679213.31808329</v>
      </c>
      <c r="R107" s="65">
        <f t="shared" si="24"/>
        <v>450238541.58426976</v>
      </c>
      <c r="S107" s="65">
        <f t="shared" si="24"/>
        <v>646073461.13015711</v>
      </c>
      <c r="T107" s="65">
        <f t="shared" si="24"/>
        <v>879448822.7737385</v>
      </c>
      <c r="U107" s="65">
        <f t="shared" si="24"/>
        <v>1151709187.7362869</v>
      </c>
      <c r="V107" s="65">
        <f t="shared" si="24"/>
        <v>1464282319.1266468</v>
      </c>
      <c r="W107" s="65">
        <f t="shared" si="24"/>
        <v>1818682862.8208182</v>
      </c>
      <c r="X107" s="65">
        <f t="shared" si="24"/>
        <v>2216516226.7619629</v>
      </c>
      <c r="Y107" s="65">
        <f t="shared" si="24"/>
        <v>2659482668.1705618</v>
      </c>
      <c r="Z107" s="65">
        <f t="shared" si="24"/>
        <v>3149381598.6418753</v>
      </c>
    </row>
    <row r="108" spans="1:26" ht="15" hidden="1" customHeight="1" outlineLevel="1" x14ac:dyDescent="0.3">
      <c r="A108" s="64" t="s">
        <v>494</v>
      </c>
      <c r="B108" s="65">
        <f>B106</f>
        <v>-900000000</v>
      </c>
      <c r="C108" s="65">
        <f t="shared" ref="C108:Z108" si="25">B108+C106</f>
        <v>-1178211614.1055999</v>
      </c>
      <c r="D108" s="65">
        <f t="shared" si="25"/>
        <v>-1431439074.5989118</v>
      </c>
      <c r="E108" s="65">
        <f t="shared" si="25"/>
        <v>-1659300015.8288484</v>
      </c>
      <c r="F108" s="65">
        <f t="shared" si="25"/>
        <v>-1861366948.6008821</v>
      </c>
      <c r="G108" s="65">
        <f t="shared" si="25"/>
        <v>-2037165784.1576998</v>
      </c>
      <c r="H108" s="65">
        <f t="shared" si="25"/>
        <v>-2186174260.954155</v>
      </c>
      <c r="I108" s="65">
        <f t="shared" si="25"/>
        <v>-2307820270.0683761</v>
      </c>
      <c r="J108" s="65">
        <f t="shared" si="25"/>
        <v>-2401480074.8619127</v>
      </c>
      <c r="K108" s="65">
        <f t="shared" si="25"/>
        <v>-2466476420.262023</v>
      </c>
      <c r="L108" s="65">
        <f t="shared" si="25"/>
        <v>-2502076526.7880282</v>
      </c>
      <c r="M108" s="65">
        <f t="shared" si="25"/>
        <v>-2507489964.1805463</v>
      </c>
      <c r="N108" s="65">
        <f t="shared" si="25"/>
        <v>-2481866399.2166967</v>
      </c>
      <c r="O108" s="65">
        <f t="shared" si="25"/>
        <v>-2424293212.0054412</v>
      </c>
      <c r="P108" s="65">
        <f t="shared" si="25"/>
        <v>-2333792974.7543855</v>
      </c>
      <c r="Q108" s="65">
        <f t="shared" si="25"/>
        <v>-2209320786.6819167</v>
      </c>
      <c r="R108" s="65">
        <f t="shared" si="25"/>
        <v>-2049761458.4157302</v>
      </c>
      <c r="S108" s="65">
        <f t="shared" si="25"/>
        <v>-1853926538.869843</v>
      </c>
      <c r="T108" s="65">
        <f t="shared" si="25"/>
        <v>-1620551177.2262616</v>
      </c>
      <c r="U108" s="65">
        <f t="shared" si="25"/>
        <v>-1348290812.2637134</v>
      </c>
      <c r="V108" s="65">
        <f t="shared" si="25"/>
        <v>-1035717680.8733535</v>
      </c>
      <c r="W108" s="65">
        <f t="shared" si="25"/>
        <v>-681317137.17918205</v>
      </c>
      <c r="X108" s="65">
        <f t="shared" si="25"/>
        <v>-283483773.23803723</v>
      </c>
      <c r="Y108" s="65">
        <f t="shared" si="25"/>
        <v>159482668.17056167</v>
      </c>
      <c r="Z108" s="65">
        <f t="shared" si="25"/>
        <v>649381598.64187539</v>
      </c>
    </row>
    <row r="109" spans="1:26" ht="15" hidden="1" customHeight="1" outlineLevel="1" x14ac:dyDescent="0.3"/>
    <row r="110" spans="1:26" ht="15" hidden="1" customHeight="1" outlineLevel="1" x14ac:dyDescent="0.3">
      <c r="A110" s="64" t="s">
        <v>495</v>
      </c>
      <c r="C110" s="66">
        <f>$D$83*(1+$E$83)^0</f>
        <v>12</v>
      </c>
      <c r="D110" s="66">
        <f>$D$83*(1+$E$83)^1</f>
        <v>12.600000000000001</v>
      </c>
      <c r="E110" s="66">
        <f>$D$83*(1+$E$83)^2</f>
        <v>13.23</v>
      </c>
      <c r="F110" s="66">
        <f>$D$83*(1+$E$83)^3</f>
        <v>13.891500000000001</v>
      </c>
      <c r="G110" s="66">
        <f>$D$83*(1+$E$83)^4</f>
        <v>14.586075000000001</v>
      </c>
      <c r="H110" s="66">
        <f>$D$83*(1+$E$83)^5</f>
        <v>15.315378750000001</v>
      </c>
      <c r="I110" s="66">
        <f>$D$83*(1+$E$83)^6</f>
        <v>16.0811476875</v>
      </c>
      <c r="J110" s="66">
        <f>$D$83*(1+$E$83)^7</f>
        <v>16.885205071875003</v>
      </c>
      <c r="K110" s="66">
        <f>$D$83*(1+$E$83)^8</f>
        <v>17.729465325468752</v>
      </c>
      <c r="L110" s="66">
        <f>$D$83*(1+$E$83)^9</f>
        <v>18.615938591742189</v>
      </c>
      <c r="M110" s="66">
        <f>$D$83*(1+$E$83)^10</f>
        <v>19.5467355213293</v>
      </c>
      <c r="N110" s="66">
        <f>$D$83*(1+$E$83)^11</f>
        <v>20.524072297395765</v>
      </c>
      <c r="O110" s="66">
        <f>$D$83*(1+$E$83)^12</f>
        <v>21.550275912265551</v>
      </c>
      <c r="P110" s="66">
        <f>$D$83*(1+$E$83)^13</f>
        <v>22.627789707878833</v>
      </c>
      <c r="Q110" s="66">
        <f>$D$83*(1+$E$83)^14</f>
        <v>23.759179193272768</v>
      </c>
      <c r="R110" s="66">
        <f>$D$83*(1+$E$83)^15</f>
        <v>24.947138152936414</v>
      </c>
      <c r="S110" s="66">
        <f>$D$83*(1+$E$83)^16</f>
        <v>26.194495060583233</v>
      </c>
      <c r="T110" s="66">
        <f>$D$83*(1+$E$83)^17</f>
        <v>27.504219813612398</v>
      </c>
      <c r="U110" s="66">
        <f>$D$83*(1+$E$83)^18</f>
        <v>28.879430804293015</v>
      </c>
      <c r="V110" s="66">
        <f>$D$83*(1+$E$83)^19</f>
        <v>30.32340234450767</v>
      </c>
      <c r="W110" s="66">
        <f>$D$83*(1+$E$83)^20</f>
        <v>31.839572461733049</v>
      </c>
      <c r="X110" s="66">
        <f>$D$83*(1+$E$83)^21</f>
        <v>33.431551084819702</v>
      </c>
      <c r="Y110" s="66">
        <f>$D$83*(1+$E$83)^22</f>
        <v>35.103128639060685</v>
      </c>
      <c r="Z110" s="66">
        <f>$D$83*(1+$E$83)^23</f>
        <v>36.858285071013725</v>
      </c>
    </row>
    <row r="111" spans="1:26" ht="15" hidden="1" customHeight="1" outlineLevel="1" x14ac:dyDescent="0.3">
      <c r="A111" s="64" t="s">
        <v>496</v>
      </c>
      <c r="B111" s="64">
        <v>0</v>
      </c>
      <c r="C111" s="66">
        <f t="shared" ref="C111:Z111" si="26">B111*(1-$F$83)+C110</f>
        <v>12</v>
      </c>
      <c r="D111" s="66">
        <f t="shared" si="26"/>
        <v>24.167999999999999</v>
      </c>
      <c r="E111" s="66">
        <f t="shared" si="26"/>
        <v>36.527951999999999</v>
      </c>
      <c r="F111" s="66">
        <f t="shared" si="26"/>
        <v>49.104445728000002</v>
      </c>
      <c r="G111" s="66">
        <f t="shared" si="26"/>
        <v>61.922760681791999</v>
      </c>
      <c r="H111" s="66">
        <f t="shared" si="26"/>
        <v>75.008920047247486</v>
      </c>
      <c r="I111" s="66">
        <f t="shared" si="26"/>
        <v>88.389746613046583</v>
      </c>
      <c r="J111" s="66">
        <f t="shared" si="26"/>
        <v>102.09292080685191</v>
      </c>
      <c r="K111" s="66">
        <f t="shared" si="26"/>
        <v>116.14704098327398</v>
      </c>
      <c r="L111" s="66">
        <f t="shared" si="26"/>
        <v>130.58168609961831</v>
      </c>
      <c r="M111" s="66">
        <f t="shared" si="26"/>
        <v>145.42748092136134</v>
      </c>
      <c r="N111" s="66">
        <f t="shared" si="26"/>
        <v>160.7161639055881</v>
      </c>
      <c r="O111" s="66">
        <f t="shared" si="26"/>
        <v>176.4806579172525</v>
      </c>
      <c r="P111" s="66">
        <f t="shared" si="26"/>
        <v>192.75514394011023</v>
      </c>
      <c r="Q111" s="66">
        <f t="shared" si="26"/>
        <v>209.57513795153901</v>
      </c>
      <c r="R111" s="66">
        <f t="shared" si="26"/>
        <v>226.97757113822001</v>
      </c>
      <c r="S111" s="66">
        <f t="shared" si="26"/>
        <v>245.00087363782731</v>
      </c>
      <c r="T111" s="66">
        <f t="shared" si="26"/>
        <v>263.68506200047796</v>
      </c>
      <c r="U111" s="66">
        <f t="shared" si="26"/>
        <v>283.07183057275375</v>
      </c>
      <c r="V111" s="66">
        <f t="shared" si="26"/>
        <v>303.20464701664224</v>
      </c>
      <c r="W111" s="66">
        <f t="shared" si="26"/>
        <v>324.12885218577617</v>
      </c>
      <c r="X111" s="66">
        <f t="shared" si="26"/>
        <v>345.89176459190793</v>
      </c>
      <c r="Y111" s="66">
        <f t="shared" si="26"/>
        <v>368.54278970565991</v>
      </c>
      <c r="Z111" s="66">
        <f t="shared" si="26"/>
        <v>392.13353434726986</v>
      </c>
    </row>
    <row r="112" spans="1:26" ht="15" hidden="1" customHeight="1" outlineLevel="1" x14ac:dyDescent="0.3">
      <c r="A112" s="64" t="s">
        <v>497</v>
      </c>
      <c r="B112" s="65">
        <f>-$I$83</f>
        <v>-900000000</v>
      </c>
      <c r="C112" s="65">
        <f t="shared" ref="C112:Z112" si="27">C111*($B$83-$C$83)-C110*$G$83-$H$83</f>
        <v>-275236345.088</v>
      </c>
      <c r="D112" s="65">
        <f t="shared" si="27"/>
        <v>-247413999.00723201</v>
      </c>
      <c r="E112" s="65">
        <f t="shared" si="27"/>
        <v>-219337565.50249165</v>
      </c>
      <c r="F112" s="65">
        <f t="shared" si="27"/>
        <v>-190953407.12689793</v>
      </c>
      <c r="G112" s="65">
        <f t="shared" si="27"/>
        <v>-162206678.15195042</v>
      </c>
      <c r="H112" s="65">
        <f t="shared" si="27"/>
        <v>-133041211.10418206</v>
      </c>
      <c r="I112" s="65">
        <f t="shared" si="27"/>
        <v>-103399399.53841841</v>
      </c>
      <c r="J112" s="65">
        <f t="shared" si="27"/>
        <v>-73222076.790721655</v>
      </c>
      <c r="K112" s="65">
        <f t="shared" si="27"/>
        <v>-42448390.443726301</v>
      </c>
      <c r="L112" s="65">
        <f t="shared" si="27"/>
        <v>-11015672.226096243</v>
      </c>
      <c r="M112" s="65">
        <f t="shared" si="27"/>
        <v>21140696.943781823</v>
      </c>
      <c r="N112" s="65">
        <f t="shared" si="27"/>
        <v>54087427.072031319</v>
      </c>
      <c r="O112" s="65">
        <f t="shared" si="27"/>
        <v>87893464.676575124</v>
      </c>
      <c r="P112" s="65">
        <f t="shared" si="27"/>
        <v>122630144.17631209</v>
      </c>
      <c r="Q112" s="65">
        <f t="shared" si="27"/>
        <v>158371345.42546326</v>
      </c>
      <c r="R112" s="65">
        <f t="shared" si="27"/>
        <v>195193657.75161982</v>
      </c>
      <c r="S112" s="65">
        <f t="shared" si="27"/>
        <v>233176550.87210858</v>
      </c>
      <c r="T112" s="65">
        <f t="shared" si="27"/>
        <v>272402553.08023715</v>
      </c>
      <c r="U112" s="65">
        <f t="shared" si="27"/>
        <v>312957437.11084908</v>
      </c>
      <c r="V112" s="65">
        <f t="shared" si="27"/>
        <v>354930414.11343396</v>
      </c>
      <c r="W112" s="65">
        <f t="shared" si="27"/>
        <v>398414336.1808548</v>
      </c>
      <c r="X112" s="65">
        <f t="shared" si="27"/>
        <v>443505907.90262365</v>
      </c>
      <c r="Y112" s="65">
        <f t="shared" si="27"/>
        <v>490305907.43362272</v>
      </c>
      <c r="Z112" s="65">
        <f t="shared" si="27"/>
        <v>538919417.59228063</v>
      </c>
    </row>
    <row r="113" spans="1:26" ht="15" hidden="1" customHeight="1" outlineLevel="1" x14ac:dyDescent="0.3">
      <c r="A113" s="64" t="s">
        <v>498</v>
      </c>
      <c r="B113" s="65">
        <f>$J$83+B112</f>
        <v>1600000000</v>
      </c>
      <c r="C113" s="65">
        <f t="shared" ref="C113:Z113" si="28">B113+C112</f>
        <v>1324763654.9119999</v>
      </c>
      <c r="D113" s="65">
        <f t="shared" si="28"/>
        <v>1077349655.904768</v>
      </c>
      <c r="E113" s="65">
        <f t="shared" si="28"/>
        <v>858012090.40227628</v>
      </c>
      <c r="F113" s="65">
        <f t="shared" si="28"/>
        <v>667058683.27537835</v>
      </c>
      <c r="G113" s="65">
        <f t="shared" si="28"/>
        <v>504852005.12342793</v>
      </c>
      <c r="H113" s="65">
        <f t="shared" si="28"/>
        <v>371810794.01924586</v>
      </c>
      <c r="I113" s="65">
        <f t="shared" si="28"/>
        <v>268411394.48082745</v>
      </c>
      <c r="J113" s="65">
        <f t="shared" si="28"/>
        <v>195189317.6901058</v>
      </c>
      <c r="K113" s="65">
        <f t="shared" si="28"/>
        <v>152740927.24637949</v>
      </c>
      <c r="L113" s="65">
        <f t="shared" si="28"/>
        <v>141725255.02028325</v>
      </c>
      <c r="M113" s="65">
        <f t="shared" si="28"/>
        <v>162865951.96406507</v>
      </c>
      <c r="N113" s="65">
        <f t="shared" si="28"/>
        <v>216953379.03609639</v>
      </c>
      <c r="O113" s="65">
        <f t="shared" si="28"/>
        <v>304846843.71267152</v>
      </c>
      <c r="P113" s="65">
        <f t="shared" si="28"/>
        <v>427476987.88898361</v>
      </c>
      <c r="Q113" s="65">
        <f t="shared" si="28"/>
        <v>585848333.31444693</v>
      </c>
      <c r="R113" s="65">
        <f t="shared" si="28"/>
        <v>781041991.06606674</v>
      </c>
      <c r="S113" s="65">
        <f t="shared" si="28"/>
        <v>1014218541.9381753</v>
      </c>
      <c r="T113" s="65">
        <f t="shared" si="28"/>
        <v>1286621095.0184126</v>
      </c>
      <c r="U113" s="65">
        <f t="shared" si="28"/>
        <v>1599578532.1292617</v>
      </c>
      <c r="V113" s="65">
        <f t="shared" si="28"/>
        <v>1954508946.2426958</v>
      </c>
      <c r="W113" s="65">
        <f t="shared" si="28"/>
        <v>2352923282.4235506</v>
      </c>
      <c r="X113" s="65">
        <f t="shared" si="28"/>
        <v>2796429190.3261743</v>
      </c>
      <c r="Y113" s="65">
        <f t="shared" si="28"/>
        <v>3286735097.7597971</v>
      </c>
      <c r="Z113" s="65">
        <f t="shared" si="28"/>
        <v>3825654515.3520775</v>
      </c>
    </row>
    <row r="114" spans="1:26" ht="15" hidden="1" customHeight="1" outlineLevel="1" x14ac:dyDescent="0.3">
      <c r="A114" s="64" t="s">
        <v>499</v>
      </c>
      <c r="B114" s="65">
        <f>B112</f>
        <v>-900000000</v>
      </c>
      <c r="C114" s="65">
        <f t="shared" ref="C114:Z114" si="29">B114+C112</f>
        <v>-1175236345.0880001</v>
      </c>
      <c r="D114" s="65">
        <f t="shared" si="29"/>
        <v>-1422650344.095232</v>
      </c>
      <c r="E114" s="65">
        <f t="shared" si="29"/>
        <v>-1641987909.5977237</v>
      </c>
      <c r="F114" s="65">
        <f t="shared" si="29"/>
        <v>-1832941316.7246218</v>
      </c>
      <c r="G114" s="65">
        <f t="shared" si="29"/>
        <v>-1995147994.8765721</v>
      </c>
      <c r="H114" s="65">
        <f t="shared" si="29"/>
        <v>-2128189205.9807541</v>
      </c>
      <c r="I114" s="65">
        <f t="shared" si="29"/>
        <v>-2231588605.5191727</v>
      </c>
      <c r="J114" s="65">
        <f t="shared" si="29"/>
        <v>-2304810682.3098946</v>
      </c>
      <c r="K114" s="65">
        <f t="shared" si="29"/>
        <v>-2347259072.7536211</v>
      </c>
      <c r="L114" s="65">
        <f t="shared" si="29"/>
        <v>-2358274744.9797173</v>
      </c>
      <c r="M114" s="65">
        <f t="shared" si="29"/>
        <v>-2337134048.0359354</v>
      </c>
      <c r="N114" s="65">
        <f t="shared" si="29"/>
        <v>-2283046620.9639039</v>
      </c>
      <c r="O114" s="65">
        <f t="shared" si="29"/>
        <v>-2195153156.2873287</v>
      </c>
      <c r="P114" s="65">
        <f t="shared" si="29"/>
        <v>-2072523012.1110168</v>
      </c>
      <c r="Q114" s="65">
        <f t="shared" si="29"/>
        <v>-1914151666.6855536</v>
      </c>
      <c r="R114" s="65">
        <f t="shared" si="29"/>
        <v>-1718958008.9339337</v>
      </c>
      <c r="S114" s="65">
        <f t="shared" si="29"/>
        <v>-1485781458.0618253</v>
      </c>
      <c r="T114" s="65">
        <f t="shared" si="29"/>
        <v>-1213378904.9815881</v>
      </c>
      <c r="U114" s="65">
        <f t="shared" si="29"/>
        <v>-900421467.87073898</v>
      </c>
      <c r="V114" s="65">
        <f t="shared" si="29"/>
        <v>-545491053.75730503</v>
      </c>
      <c r="W114" s="65">
        <f t="shared" si="29"/>
        <v>-147076717.57645023</v>
      </c>
      <c r="X114" s="65">
        <f t="shared" si="29"/>
        <v>296429190.32617342</v>
      </c>
      <c r="Y114" s="65">
        <f t="shared" si="29"/>
        <v>786735097.75979614</v>
      </c>
      <c r="Z114" s="65">
        <f t="shared" si="29"/>
        <v>1325654515.3520768</v>
      </c>
    </row>
    <row r="115" spans="1:26" ht="15" hidden="1" customHeight="1" outlineLevel="1" x14ac:dyDescent="0.3"/>
    <row r="116" spans="1:26" ht="15" hidden="1" customHeight="1" outlineLevel="1" x14ac:dyDescent="0.3">
      <c r="A116" s="64" t="s">
        <v>500</v>
      </c>
      <c r="C116" s="66">
        <f>$D$84*(1+$E$84)^0</f>
        <v>12</v>
      </c>
      <c r="D116" s="66">
        <f>$D$84*(1+$E$84)^1</f>
        <v>12.600000000000001</v>
      </c>
      <c r="E116" s="66">
        <f>$D$84*(1+$E$84)^2</f>
        <v>13.23</v>
      </c>
      <c r="F116" s="66">
        <f>$D$84*(1+$E$84)^3</f>
        <v>13.891500000000001</v>
      </c>
      <c r="G116" s="66">
        <f>$D$84*(1+$E$84)^4</f>
        <v>14.586075000000001</v>
      </c>
      <c r="H116" s="66">
        <f>$D$84*(1+$E$84)^5</f>
        <v>15.315378750000001</v>
      </c>
      <c r="I116" s="66">
        <f>$D$84*(1+$E$84)^6</f>
        <v>16.0811476875</v>
      </c>
      <c r="J116" s="66">
        <f>$D$84*(1+$E$84)^7</f>
        <v>16.885205071875003</v>
      </c>
      <c r="K116" s="66">
        <f>$D$84*(1+$E$84)^8</f>
        <v>17.729465325468752</v>
      </c>
      <c r="L116" s="66">
        <f>$D$84*(1+$E$84)^9</f>
        <v>18.615938591742189</v>
      </c>
      <c r="M116" s="66">
        <f>$D$84*(1+$E$84)^10</f>
        <v>19.5467355213293</v>
      </c>
      <c r="N116" s="66">
        <f>$D$84*(1+$E$84)^11</f>
        <v>20.524072297395765</v>
      </c>
      <c r="O116" s="66">
        <f>$D$84*(1+$E$84)^12</f>
        <v>21.550275912265551</v>
      </c>
      <c r="P116" s="66">
        <f>$D$84*(1+$E$84)^13</f>
        <v>22.627789707878833</v>
      </c>
      <c r="Q116" s="66">
        <f>$D$84*(1+$E$84)^14</f>
        <v>23.759179193272768</v>
      </c>
      <c r="R116" s="66">
        <f>$D$84*(1+$E$84)^15</f>
        <v>24.947138152936414</v>
      </c>
      <c r="S116" s="66">
        <f>$D$84*(1+$E$84)^16</f>
        <v>26.194495060583233</v>
      </c>
      <c r="T116" s="66">
        <f>$D$84*(1+$E$84)^17</f>
        <v>27.504219813612398</v>
      </c>
      <c r="U116" s="66">
        <f>$D$84*(1+$E$84)^18</f>
        <v>28.879430804293015</v>
      </c>
      <c r="V116" s="66">
        <f>$D$84*(1+$E$84)^19</f>
        <v>30.32340234450767</v>
      </c>
      <c r="W116" s="66">
        <f>$D$84*(1+$E$84)^20</f>
        <v>31.839572461733049</v>
      </c>
      <c r="X116" s="66">
        <f>$D$84*(1+$E$84)^21</f>
        <v>33.431551084819702</v>
      </c>
      <c r="Y116" s="66">
        <f>$D$84*(1+$E$84)^22</f>
        <v>35.103128639060685</v>
      </c>
      <c r="Z116" s="66">
        <f>$D$84*(1+$E$84)^23</f>
        <v>36.858285071013725</v>
      </c>
    </row>
    <row r="117" spans="1:26" ht="15" hidden="1" customHeight="1" outlineLevel="1" x14ac:dyDescent="0.3">
      <c r="A117" s="64" t="s">
        <v>501</v>
      </c>
      <c r="B117" s="64">
        <v>0</v>
      </c>
      <c r="C117" s="66">
        <f t="shared" ref="C117:Z117" si="30">B117*(1-$F$84)+C116</f>
        <v>12</v>
      </c>
      <c r="D117" s="66">
        <f t="shared" si="30"/>
        <v>24.240000000000002</v>
      </c>
      <c r="E117" s="66">
        <f t="shared" si="30"/>
        <v>36.742800000000003</v>
      </c>
      <c r="F117" s="66">
        <f t="shared" si="30"/>
        <v>49.532015999999999</v>
      </c>
      <c r="G117" s="66">
        <f t="shared" si="30"/>
        <v>62.632130519999997</v>
      </c>
      <c r="H117" s="66">
        <f t="shared" si="30"/>
        <v>76.068545354399987</v>
      </c>
      <c r="I117" s="66">
        <f t="shared" si="30"/>
        <v>89.867636681267982</v>
      </c>
      <c r="J117" s="66">
        <f t="shared" si="30"/>
        <v>104.05681265270495</v>
      </c>
      <c r="K117" s="66">
        <f t="shared" si="30"/>
        <v>118.66457359859255</v>
      </c>
      <c r="L117" s="66">
        <f t="shared" si="30"/>
        <v>133.72057498237697</v>
      </c>
      <c r="M117" s="66">
        <f t="shared" si="30"/>
        <v>149.25569325423498</v>
      </c>
      <c r="N117" s="66">
        <f t="shared" si="30"/>
        <v>165.30209475400372</v>
      </c>
      <c r="O117" s="66">
        <f t="shared" si="30"/>
        <v>181.89330782364917</v>
      </c>
      <c r="P117" s="66">
        <f t="shared" si="30"/>
        <v>199.06429829681852</v>
      </c>
      <c r="Q117" s="66">
        <f t="shared" si="30"/>
        <v>216.85154854118673</v>
      </c>
      <c r="R117" s="66">
        <f t="shared" si="30"/>
        <v>235.29314023788754</v>
      </c>
      <c r="S117" s="66">
        <f t="shared" si="30"/>
        <v>254.42884109133414</v>
      </c>
      <c r="T117" s="66">
        <f t="shared" si="30"/>
        <v>274.30019567220648</v>
      </c>
      <c r="U117" s="66">
        <f t="shared" si="30"/>
        <v>294.9506206063333</v>
      </c>
      <c r="V117" s="66">
        <f t="shared" si="30"/>
        <v>316.42550433265097</v>
      </c>
      <c r="W117" s="66">
        <f t="shared" si="30"/>
        <v>338.77231166440447</v>
      </c>
      <c r="X117" s="66">
        <f t="shared" si="30"/>
        <v>362.04069339929202</v>
      </c>
      <c r="Y117" s="66">
        <f t="shared" si="30"/>
        <v>386.28260123637392</v>
      </c>
      <c r="Z117" s="66">
        <f t="shared" si="30"/>
        <v>411.55240827029638</v>
      </c>
    </row>
    <row r="118" spans="1:26" ht="15" hidden="1" customHeight="1" outlineLevel="1" x14ac:dyDescent="0.3">
      <c r="A118" s="64" t="s">
        <v>502</v>
      </c>
      <c r="B118" s="65">
        <f>-$I$84</f>
        <v>-900000000</v>
      </c>
      <c r="C118" s="65">
        <f t="shared" ref="C118:Z118" si="31">C117*($B$84-$C$84)-C116*$G$84-$H$84</f>
        <v>-296836345.088</v>
      </c>
      <c r="D118" s="65">
        <f t="shared" si="31"/>
        <v>-269897417.07776004</v>
      </c>
      <c r="E118" s="65">
        <f t="shared" si="31"/>
        <v>-242564965.0249472</v>
      </c>
      <c r="F118" s="65">
        <f t="shared" si="31"/>
        <v>-214790710.05669481</v>
      </c>
      <c r="G118" s="65">
        <f t="shared" si="31"/>
        <v>-186524817.43661475</v>
      </c>
      <c r="H118" s="65">
        <f t="shared" si="31"/>
        <v>-157715793.0292182</v>
      </c>
      <c r="I118" s="65">
        <f t="shared" si="31"/>
        <v>-128310375.35982859</v>
      </c>
      <c r="J118" s="65">
        <f t="shared" si="31"/>
        <v>-98253423.026595026</v>
      </c>
      <c r="K118" s="65">
        <f t="shared" si="31"/>
        <v>-67487797.209736466</v>
      </c>
      <c r="L118" s="65">
        <f t="shared" si="31"/>
        <v>-35954239.011080682</v>
      </c>
      <c r="M118" s="65">
        <f t="shared" si="31"/>
        <v>-3591241.344266355</v>
      </c>
      <c r="N118" s="65">
        <f t="shared" si="31"/>
        <v>29665084.917367637</v>
      </c>
      <c r="O118" s="65">
        <f t="shared" si="31"/>
        <v>63881150.842217922</v>
      </c>
      <c r="P118" s="65">
        <f t="shared" si="31"/>
        <v>99126035.712941229</v>
      </c>
      <c r="Q118" s="65">
        <f t="shared" si="31"/>
        <v>135471640.00734234</v>
      </c>
      <c r="R118" s="65">
        <f t="shared" si="31"/>
        <v>172992845.44120079</v>
      </c>
      <c r="S118" s="65">
        <f t="shared" si="31"/>
        <v>211767682.44374752</v>
      </c>
      <c r="T118" s="65">
        <f t="shared" si="31"/>
        <v>251877505.45450681</v>
      </c>
      <c r="U118" s="65">
        <f t="shared" si="31"/>
        <v>293407176.44914705</v>
      </c>
      <c r="V118" s="65">
        <f t="shared" si="31"/>
        <v>336445257.12186188</v>
      </c>
      <c r="W118" s="65">
        <f t="shared" si="31"/>
        <v>381084210.1727047</v>
      </c>
      <c r="X118" s="65">
        <f t="shared" si="31"/>
        <v>427420610.1702472</v>
      </c>
      <c r="Y118" s="65">
        <f t="shared" si="31"/>
        <v>475555364.48299956</v>
      </c>
      <c r="Z118" s="65">
        <f t="shared" si="31"/>
        <v>525593944.79726219</v>
      </c>
    </row>
    <row r="119" spans="1:26" ht="15" hidden="1" customHeight="1" outlineLevel="1" x14ac:dyDescent="0.3">
      <c r="A119" s="64" t="s">
        <v>503</v>
      </c>
      <c r="B119" s="65">
        <f>$J$84+B118</f>
        <v>1600000000</v>
      </c>
      <c r="C119" s="65">
        <f t="shared" ref="C119:Z119" si="32">B119+C118</f>
        <v>1303163654.9119999</v>
      </c>
      <c r="D119" s="65">
        <f t="shared" si="32"/>
        <v>1033266237.83424</v>
      </c>
      <c r="E119" s="65">
        <f t="shared" si="32"/>
        <v>790701272.80929279</v>
      </c>
      <c r="F119" s="65">
        <f t="shared" si="32"/>
        <v>575910562.75259805</v>
      </c>
      <c r="G119" s="65">
        <f t="shared" si="32"/>
        <v>389385745.3159833</v>
      </c>
      <c r="H119" s="65">
        <f t="shared" si="32"/>
        <v>231669952.2867651</v>
      </c>
      <c r="I119" s="65">
        <f t="shared" si="32"/>
        <v>103359576.92693651</v>
      </c>
      <c r="J119" s="65">
        <f t="shared" si="32"/>
        <v>5106153.900341481</v>
      </c>
      <c r="K119" s="65">
        <f t="shared" si="32"/>
        <v>-62381643.309394985</v>
      </c>
      <c r="L119" s="65">
        <f t="shared" si="32"/>
        <v>-98335882.320475668</v>
      </c>
      <c r="M119" s="65">
        <f t="shared" si="32"/>
        <v>-101927123.66474202</v>
      </c>
      <c r="N119" s="65">
        <f t="shared" si="32"/>
        <v>-72262038.747374386</v>
      </c>
      <c r="O119" s="65">
        <f t="shared" si="32"/>
        <v>-8380887.9051564634</v>
      </c>
      <c r="P119" s="65">
        <f t="shared" si="32"/>
        <v>90745147.807784766</v>
      </c>
      <c r="Q119" s="65">
        <f t="shared" si="32"/>
        <v>226216787.8151271</v>
      </c>
      <c r="R119" s="65">
        <f t="shared" si="32"/>
        <v>399209633.25632787</v>
      </c>
      <c r="S119" s="65">
        <f t="shared" si="32"/>
        <v>610977315.70007539</v>
      </c>
      <c r="T119" s="65">
        <f t="shared" si="32"/>
        <v>862854821.15458226</v>
      </c>
      <c r="U119" s="65">
        <f t="shared" si="32"/>
        <v>1156261997.6037292</v>
      </c>
      <c r="V119" s="65">
        <f t="shared" si="32"/>
        <v>1492707254.7255912</v>
      </c>
      <c r="W119" s="65">
        <f t="shared" si="32"/>
        <v>1873791464.8982959</v>
      </c>
      <c r="X119" s="65">
        <f t="shared" si="32"/>
        <v>2301212075.068543</v>
      </c>
      <c r="Y119" s="65">
        <f t="shared" si="32"/>
        <v>2776767439.5515423</v>
      </c>
      <c r="Z119" s="65">
        <f t="shared" si="32"/>
        <v>3302361384.3488045</v>
      </c>
    </row>
    <row r="120" spans="1:26" ht="15" hidden="1" customHeight="1" outlineLevel="1" x14ac:dyDescent="0.3">
      <c r="A120" s="64" t="s">
        <v>504</v>
      </c>
      <c r="B120" s="65">
        <f>B118</f>
        <v>-900000000</v>
      </c>
      <c r="C120" s="65">
        <f t="shared" ref="C120:Z120" si="33">B120+C118</f>
        <v>-1196836345.0880001</v>
      </c>
      <c r="D120" s="65">
        <f t="shared" si="33"/>
        <v>-1466733762.16576</v>
      </c>
      <c r="E120" s="65">
        <f t="shared" si="33"/>
        <v>-1709298727.1907072</v>
      </c>
      <c r="F120" s="65">
        <f t="shared" si="33"/>
        <v>-1924089437.247402</v>
      </c>
      <c r="G120" s="65">
        <f t="shared" si="33"/>
        <v>-2110614254.6840167</v>
      </c>
      <c r="H120" s="65">
        <f t="shared" si="33"/>
        <v>-2268330047.7132349</v>
      </c>
      <c r="I120" s="65">
        <f t="shared" si="33"/>
        <v>-2396640423.0730634</v>
      </c>
      <c r="J120" s="65">
        <f t="shared" si="33"/>
        <v>-2494893846.0996585</v>
      </c>
      <c r="K120" s="65">
        <f t="shared" si="33"/>
        <v>-2562381643.3093948</v>
      </c>
      <c r="L120" s="65">
        <f t="shared" si="33"/>
        <v>-2598335882.3204756</v>
      </c>
      <c r="M120" s="65">
        <f t="shared" si="33"/>
        <v>-2601927123.664742</v>
      </c>
      <c r="N120" s="65">
        <f t="shared" si="33"/>
        <v>-2572262038.7473745</v>
      </c>
      <c r="O120" s="65">
        <f t="shared" si="33"/>
        <v>-2508380887.9051566</v>
      </c>
      <c r="P120" s="65">
        <f t="shared" si="33"/>
        <v>-2409254852.1922154</v>
      </c>
      <c r="Q120" s="65">
        <f t="shared" si="33"/>
        <v>-2273783212.1848731</v>
      </c>
      <c r="R120" s="65">
        <f t="shared" si="33"/>
        <v>-2100790366.7436724</v>
      </c>
      <c r="S120" s="65">
        <f t="shared" si="33"/>
        <v>-1889022684.2999249</v>
      </c>
      <c r="T120" s="65">
        <f t="shared" si="33"/>
        <v>-1637145178.845418</v>
      </c>
      <c r="U120" s="65">
        <f t="shared" si="33"/>
        <v>-1343738002.396271</v>
      </c>
      <c r="V120" s="65">
        <f t="shared" si="33"/>
        <v>-1007292745.2744091</v>
      </c>
      <c r="W120" s="65">
        <f t="shared" si="33"/>
        <v>-626208535.10170436</v>
      </c>
      <c r="X120" s="65">
        <f t="shared" si="33"/>
        <v>-198787924.93145716</v>
      </c>
      <c r="Y120" s="65">
        <f t="shared" si="33"/>
        <v>276767439.5515424</v>
      </c>
      <c r="Z120" s="65">
        <f t="shared" si="33"/>
        <v>802361384.34880459</v>
      </c>
    </row>
    <row r="121" spans="1:26" ht="15" hidden="1" customHeight="1" outlineLevel="1" x14ac:dyDescent="0.3"/>
    <row r="122" spans="1:26" ht="15" hidden="1" customHeight="1" outlineLevel="1" x14ac:dyDescent="0.3">
      <c r="A122" s="64" t="s">
        <v>505</v>
      </c>
      <c r="C122" s="66">
        <f>$D$85*(1+$E$85)^0</f>
        <v>9.6000000000000014</v>
      </c>
      <c r="D122" s="66">
        <f>$D$85*(1+$E$85)^1</f>
        <v>10.080000000000002</v>
      </c>
      <c r="E122" s="66">
        <f>$D$85*(1+$E$85)^2</f>
        <v>10.584000000000001</v>
      </c>
      <c r="F122" s="66">
        <f>$D$85*(1+$E$85)^3</f>
        <v>11.113200000000003</v>
      </c>
      <c r="G122" s="66">
        <f>$D$85*(1+$E$85)^4</f>
        <v>11.668860000000002</v>
      </c>
      <c r="H122" s="66">
        <f>$D$85*(1+$E$85)^5</f>
        <v>12.252303000000003</v>
      </c>
      <c r="I122" s="66">
        <f>$D$85*(1+$E$85)^6</f>
        <v>12.864918150000001</v>
      </c>
      <c r="J122" s="66">
        <f>$D$85*(1+$E$85)^7</f>
        <v>13.508164057500004</v>
      </c>
      <c r="K122" s="66">
        <f>$D$85*(1+$E$85)^8</f>
        <v>14.183572260375003</v>
      </c>
      <c r="L122" s="66">
        <f>$D$85*(1+$E$85)^9</f>
        <v>14.892750873393753</v>
      </c>
      <c r="M122" s="66">
        <f>$D$85*(1+$E$85)^10</f>
        <v>15.637388417063441</v>
      </c>
      <c r="N122" s="66">
        <f>$D$85*(1+$E$85)^11</f>
        <v>16.419257837916614</v>
      </c>
      <c r="O122" s="66">
        <f>$D$85*(1+$E$85)^12</f>
        <v>17.240220729812442</v>
      </c>
      <c r="P122" s="66">
        <f>$D$85*(1+$E$85)^13</f>
        <v>18.102231766303067</v>
      </c>
      <c r="Q122" s="66">
        <f>$D$85*(1+$E$85)^14</f>
        <v>19.007343354618218</v>
      </c>
      <c r="R122" s="66">
        <f>$D$85*(1+$E$85)^15</f>
        <v>19.957710522349135</v>
      </c>
      <c r="S122" s="66">
        <f>$D$85*(1+$E$85)^16</f>
        <v>20.955596048466589</v>
      </c>
      <c r="T122" s="66">
        <f>$D$85*(1+$E$85)^17</f>
        <v>22.00337585088992</v>
      </c>
      <c r="U122" s="66">
        <f>$D$85*(1+$E$85)^18</f>
        <v>23.103544643434418</v>
      </c>
      <c r="V122" s="66">
        <f>$D$85*(1+$E$85)^19</f>
        <v>24.258721875606138</v>
      </c>
      <c r="W122" s="66">
        <f>$D$85*(1+$E$85)^20</f>
        <v>25.471657969386445</v>
      </c>
      <c r="X122" s="66">
        <f>$D$85*(1+$E$85)^21</f>
        <v>26.745240867855767</v>
      </c>
      <c r="Y122" s="66">
        <f>$D$85*(1+$E$85)^22</f>
        <v>28.082502911248554</v>
      </c>
      <c r="Z122" s="66">
        <f>$D$85*(1+$E$85)^23</f>
        <v>29.486628056810986</v>
      </c>
    </row>
    <row r="123" spans="1:26" ht="15" hidden="1" customHeight="1" outlineLevel="1" x14ac:dyDescent="0.3">
      <c r="A123" s="64" t="s">
        <v>506</v>
      </c>
      <c r="B123" s="64">
        <v>0</v>
      </c>
      <c r="C123" s="66">
        <f t="shared" ref="C123:Z123" si="34">B123*(1-$F$85)+C122</f>
        <v>9.6000000000000014</v>
      </c>
      <c r="D123" s="66">
        <f t="shared" si="34"/>
        <v>19.392000000000003</v>
      </c>
      <c r="E123" s="66">
        <f t="shared" si="34"/>
        <v>29.394240000000003</v>
      </c>
      <c r="F123" s="66">
        <f t="shared" si="34"/>
        <v>39.625612800000006</v>
      </c>
      <c r="G123" s="66">
        <f t="shared" si="34"/>
        <v>50.105704416000009</v>
      </c>
      <c r="H123" s="66">
        <f t="shared" si="34"/>
        <v>60.854836283520015</v>
      </c>
      <c r="I123" s="66">
        <f t="shared" si="34"/>
        <v>71.894109345014414</v>
      </c>
      <c r="J123" s="66">
        <f t="shared" si="34"/>
        <v>83.245450122163987</v>
      </c>
      <c r="K123" s="66">
        <f t="shared" si="34"/>
        <v>94.93165887887406</v>
      </c>
      <c r="L123" s="66">
        <f t="shared" si="34"/>
        <v>106.97645998590158</v>
      </c>
      <c r="M123" s="66">
        <f t="shared" si="34"/>
        <v>119.40455460338796</v>
      </c>
      <c r="N123" s="66">
        <f t="shared" si="34"/>
        <v>132.24167580320292</v>
      </c>
      <c r="O123" s="66">
        <f t="shared" si="34"/>
        <v>145.51464625891927</v>
      </c>
      <c r="P123" s="66">
        <f t="shared" si="34"/>
        <v>159.25143863745475</v>
      </c>
      <c r="Q123" s="66">
        <f t="shared" si="34"/>
        <v>173.48123883294934</v>
      </c>
      <c r="R123" s="66">
        <f t="shared" si="34"/>
        <v>188.23451219031</v>
      </c>
      <c r="S123" s="66">
        <f t="shared" si="34"/>
        <v>203.54307287306727</v>
      </c>
      <c r="T123" s="66">
        <f t="shared" si="34"/>
        <v>219.44015653776515</v>
      </c>
      <c r="U123" s="66">
        <f t="shared" si="34"/>
        <v>235.96049648506661</v>
      </c>
      <c r="V123" s="66">
        <f t="shared" si="34"/>
        <v>253.14040346612074</v>
      </c>
      <c r="W123" s="66">
        <f t="shared" si="34"/>
        <v>271.01784933152356</v>
      </c>
      <c r="X123" s="66">
        <f t="shared" si="34"/>
        <v>289.63255471943364</v>
      </c>
      <c r="Y123" s="66">
        <f t="shared" si="34"/>
        <v>309.02608098909923</v>
      </c>
      <c r="Z123" s="66">
        <f t="shared" si="34"/>
        <v>329.24192661623727</v>
      </c>
    </row>
    <row r="124" spans="1:26" ht="15" hidden="1" customHeight="1" outlineLevel="1" x14ac:dyDescent="0.3">
      <c r="A124" s="64" t="s">
        <v>507</v>
      </c>
      <c r="B124" s="65">
        <f>-$I$85</f>
        <v>-900000000</v>
      </c>
      <c r="C124" s="65">
        <f t="shared" ref="C124:Z124" si="35">C123*($B$85-$C$85)-C122*$G$85-$H$85</f>
        <v>-260189076.0704</v>
      </c>
      <c r="D124" s="65">
        <f t="shared" si="35"/>
        <v>-237773933.66220802</v>
      </c>
      <c r="E124" s="65">
        <f t="shared" si="35"/>
        <v>-215000772.01995778</v>
      </c>
      <c r="F124" s="65">
        <f t="shared" si="35"/>
        <v>-191828808.04535586</v>
      </c>
      <c r="G124" s="65">
        <f t="shared" si="35"/>
        <v>-168215905.94929177</v>
      </c>
      <c r="H124" s="65">
        <f t="shared" si="35"/>
        <v>-144118489.0233745</v>
      </c>
      <c r="I124" s="65">
        <f t="shared" si="35"/>
        <v>-119491447.61786281</v>
      </c>
      <c r="J124" s="65">
        <f t="shared" si="35"/>
        <v>-94288043.117775932</v>
      </c>
      <c r="K124" s="65">
        <f t="shared" si="35"/>
        <v>-68459807.699114174</v>
      </c>
      <c r="L124" s="65">
        <f t="shared" si="35"/>
        <v>-41956439.636755824</v>
      </c>
      <c r="M124" s="65">
        <f t="shared" si="35"/>
        <v>-14725693.924698949</v>
      </c>
      <c r="N124" s="65">
        <f t="shared" si="35"/>
        <v>13286732.042143852</v>
      </c>
      <c r="O124" s="65">
        <f t="shared" si="35"/>
        <v>42137317.987436533</v>
      </c>
      <c r="P124" s="65">
        <f t="shared" si="35"/>
        <v>71884845.749698281</v>
      </c>
      <c r="Q124" s="65">
        <f t="shared" si="35"/>
        <v>102590530.04418653</v>
      </c>
      <c r="R124" s="65">
        <f t="shared" si="35"/>
        <v>134318155.29318893</v>
      </c>
      <c r="S124" s="65">
        <f t="shared" si="35"/>
        <v>167134218.84223771</v>
      </c>
      <c r="T124" s="65">
        <f t="shared" si="35"/>
        <v>201108080.89520717</v>
      </c>
      <c r="U124" s="65">
        <f t="shared" si="35"/>
        <v>236312121.51749945</v>
      </c>
      <c r="V124" s="65">
        <f t="shared" si="35"/>
        <v>272821905.0735805</v>
      </c>
      <c r="W124" s="65">
        <f t="shared" si="35"/>
        <v>310716352.48305929</v>
      </c>
      <c r="X124" s="65">
        <f t="shared" si="35"/>
        <v>350077921.69833803</v>
      </c>
      <c r="Y124" s="65">
        <f t="shared" si="35"/>
        <v>390992796.82664728</v>
      </c>
      <c r="Z124" s="65">
        <f t="shared" si="35"/>
        <v>433551086.34006989</v>
      </c>
    </row>
    <row r="125" spans="1:26" ht="15" hidden="1" customHeight="1" outlineLevel="1" x14ac:dyDescent="0.3">
      <c r="A125" s="64" t="s">
        <v>508</v>
      </c>
      <c r="B125" s="65">
        <f>$J$85+B124</f>
        <v>1600000000</v>
      </c>
      <c r="C125" s="65">
        <f t="shared" ref="C125:Z125" si="36">B125+C124</f>
        <v>1339810923.9296</v>
      </c>
      <c r="D125" s="65">
        <f t="shared" si="36"/>
        <v>1102036990.2673919</v>
      </c>
      <c r="E125" s="65">
        <f t="shared" si="36"/>
        <v>887036218.24743414</v>
      </c>
      <c r="F125" s="65">
        <f t="shared" si="36"/>
        <v>695207410.20207834</v>
      </c>
      <c r="G125" s="65">
        <f t="shared" si="36"/>
        <v>526991504.25278658</v>
      </c>
      <c r="H125" s="65">
        <f t="shared" si="36"/>
        <v>382873015.22941208</v>
      </c>
      <c r="I125" s="65">
        <f t="shared" si="36"/>
        <v>263381567.61154926</v>
      </c>
      <c r="J125" s="65">
        <f t="shared" si="36"/>
        <v>169093524.49377334</v>
      </c>
      <c r="K125" s="65">
        <f t="shared" si="36"/>
        <v>100633716.79465917</v>
      </c>
      <c r="L125" s="65">
        <f t="shared" si="36"/>
        <v>58677277.157903343</v>
      </c>
      <c r="M125" s="65">
        <f t="shared" si="36"/>
        <v>43951583.233204395</v>
      </c>
      <c r="N125" s="65">
        <f t="shared" si="36"/>
        <v>57238315.275348246</v>
      </c>
      <c r="O125" s="65">
        <f t="shared" si="36"/>
        <v>99375633.262784779</v>
      </c>
      <c r="P125" s="65">
        <f t="shared" si="36"/>
        <v>171260479.01248306</v>
      </c>
      <c r="Q125" s="65">
        <f t="shared" si="36"/>
        <v>273851009.05666959</v>
      </c>
      <c r="R125" s="65">
        <f t="shared" si="36"/>
        <v>408169164.34985852</v>
      </c>
      <c r="S125" s="65">
        <f t="shared" si="36"/>
        <v>575303383.19209623</v>
      </c>
      <c r="T125" s="65">
        <f t="shared" si="36"/>
        <v>776411464.0873034</v>
      </c>
      <c r="U125" s="65">
        <f t="shared" si="36"/>
        <v>1012723585.6048028</v>
      </c>
      <c r="V125" s="65">
        <f t="shared" si="36"/>
        <v>1285545490.6783834</v>
      </c>
      <c r="W125" s="65">
        <f t="shared" si="36"/>
        <v>1596261843.1614428</v>
      </c>
      <c r="X125" s="65">
        <f t="shared" si="36"/>
        <v>1946339764.8597808</v>
      </c>
      <c r="Y125" s="65">
        <f t="shared" si="36"/>
        <v>2337332561.6864281</v>
      </c>
      <c r="Z125" s="65">
        <f t="shared" si="36"/>
        <v>2770883648.0264978</v>
      </c>
    </row>
    <row r="126" spans="1:26" ht="15" hidden="1" customHeight="1" outlineLevel="1" x14ac:dyDescent="0.3">
      <c r="A126" s="64" t="s">
        <v>509</v>
      </c>
      <c r="B126" s="65">
        <f>B124</f>
        <v>-900000000</v>
      </c>
      <c r="C126" s="65">
        <f t="shared" ref="C126:Z126" si="37">B126+C124</f>
        <v>-1160189076.0704</v>
      </c>
      <c r="D126" s="65">
        <f t="shared" si="37"/>
        <v>-1397963009.7326081</v>
      </c>
      <c r="E126" s="65">
        <f t="shared" si="37"/>
        <v>-1612963781.7525659</v>
      </c>
      <c r="F126" s="65">
        <f t="shared" si="37"/>
        <v>-1804792589.7979217</v>
      </c>
      <c r="G126" s="65">
        <f t="shared" si="37"/>
        <v>-1973008495.7472134</v>
      </c>
      <c r="H126" s="65">
        <f t="shared" si="37"/>
        <v>-2117126984.7705879</v>
      </c>
      <c r="I126" s="65">
        <f t="shared" si="37"/>
        <v>-2236618432.3884506</v>
      </c>
      <c r="J126" s="65">
        <f t="shared" si="37"/>
        <v>-2330906475.5062265</v>
      </c>
      <c r="K126" s="65">
        <f t="shared" si="37"/>
        <v>-2399366283.2053409</v>
      </c>
      <c r="L126" s="65">
        <f t="shared" si="37"/>
        <v>-2441322722.8420968</v>
      </c>
      <c r="M126" s="65">
        <f t="shared" si="37"/>
        <v>-2456048416.7667956</v>
      </c>
      <c r="N126" s="65">
        <f t="shared" si="37"/>
        <v>-2442761684.7246518</v>
      </c>
      <c r="O126" s="65">
        <f t="shared" si="37"/>
        <v>-2400624366.737215</v>
      </c>
      <c r="P126" s="65">
        <f t="shared" si="37"/>
        <v>-2328739520.9875169</v>
      </c>
      <c r="Q126" s="65">
        <f t="shared" si="37"/>
        <v>-2226148990.9433303</v>
      </c>
      <c r="R126" s="65">
        <f t="shared" si="37"/>
        <v>-2091830835.6501412</v>
      </c>
      <c r="S126" s="65">
        <f t="shared" si="37"/>
        <v>-1924696616.8079035</v>
      </c>
      <c r="T126" s="65">
        <f t="shared" si="37"/>
        <v>-1723588535.9126964</v>
      </c>
      <c r="U126" s="65">
        <f t="shared" si="37"/>
        <v>-1487276414.3951969</v>
      </c>
      <c r="V126" s="65">
        <f t="shared" si="37"/>
        <v>-1214454509.3216164</v>
      </c>
      <c r="W126" s="65">
        <f t="shared" si="37"/>
        <v>-903738156.83855712</v>
      </c>
      <c r="X126" s="65">
        <f t="shared" si="37"/>
        <v>-553660235.14021909</v>
      </c>
      <c r="Y126" s="65">
        <f t="shared" si="37"/>
        <v>-162667438.31357181</v>
      </c>
      <c r="Z126" s="65">
        <f t="shared" si="37"/>
        <v>270883648.02649808</v>
      </c>
    </row>
    <row r="127" spans="1:26" ht="15" hidden="1" customHeight="1" outlineLevel="1" x14ac:dyDescent="0.3"/>
    <row r="128" spans="1:26" ht="15" hidden="1" customHeight="1" outlineLevel="1" x14ac:dyDescent="0.3">
      <c r="A128" s="64" t="s">
        <v>510</v>
      </c>
      <c r="C128" s="66">
        <f>$D$86*(1+$E$86)^0</f>
        <v>12</v>
      </c>
      <c r="D128" s="66">
        <f>$D$86*(1+$E$86)^1</f>
        <v>12.48</v>
      </c>
      <c r="E128" s="66">
        <f>$D$86*(1+$E$86)^2</f>
        <v>12.979200000000002</v>
      </c>
      <c r="F128" s="66">
        <f>$D$86*(1+$E$86)^3</f>
        <v>13.498368000000001</v>
      </c>
      <c r="G128" s="66">
        <f>$D$86*(1+$E$86)^4</f>
        <v>14.038302720000003</v>
      </c>
      <c r="H128" s="66">
        <f>$D$86*(1+$E$86)^5</f>
        <v>14.599834828800004</v>
      </c>
      <c r="I128" s="66">
        <f>$D$86*(1+$E$86)^6</f>
        <v>15.183828221952005</v>
      </c>
      <c r="J128" s="66">
        <f>$D$86*(1+$E$86)^7</f>
        <v>15.791181350830083</v>
      </c>
      <c r="K128" s="66">
        <f>$D$86*(1+$E$86)^8</f>
        <v>16.422828604863291</v>
      </c>
      <c r="L128" s="66">
        <f>$D$86*(1+$E$86)^9</f>
        <v>17.079741749057824</v>
      </c>
      <c r="M128" s="66">
        <f>$D$86*(1+$E$86)^10</f>
        <v>17.762931419020134</v>
      </c>
      <c r="N128" s="66">
        <f>$D$86*(1+$E$86)^11</f>
        <v>18.47344867578094</v>
      </c>
      <c r="O128" s="66">
        <f>$D$86*(1+$E$86)^12</f>
        <v>19.212386622812183</v>
      </c>
      <c r="P128" s="66">
        <f>$D$86*(1+$E$86)^13</f>
        <v>19.98088208772467</v>
      </c>
      <c r="Q128" s="66">
        <f>$D$86*(1+$E$86)^14</f>
        <v>20.780117371233654</v>
      </c>
      <c r="R128" s="66">
        <f>$D$86*(1+$E$86)^15</f>
        <v>21.611322066083002</v>
      </c>
      <c r="S128" s="66">
        <f>$D$86*(1+$E$86)^16</f>
        <v>22.475774948726325</v>
      </c>
      <c r="T128" s="66">
        <f>$D$86*(1+$E$86)^17</f>
        <v>23.37480594667538</v>
      </c>
      <c r="U128" s="66">
        <f>$D$86*(1+$E$86)^18</f>
        <v>24.309798184542394</v>
      </c>
      <c r="V128" s="66">
        <f>$D$86*(1+$E$86)^19</f>
        <v>25.282190111924091</v>
      </c>
      <c r="W128" s="66">
        <f>$D$86*(1+$E$86)^20</f>
        <v>26.293477716401057</v>
      </c>
      <c r="X128" s="66">
        <f>$D$86*(1+$E$86)^21</f>
        <v>27.345216825057104</v>
      </c>
      <c r="Y128" s="66">
        <f>$D$86*(1+$E$86)^22</f>
        <v>28.439025498059387</v>
      </c>
      <c r="Z128" s="66">
        <f>$D$86*(1+$E$86)^23</f>
        <v>29.57658651798176</v>
      </c>
    </row>
    <row r="129" spans="1:26" ht="15" hidden="1" customHeight="1" outlineLevel="1" x14ac:dyDescent="0.3">
      <c r="A129" s="64" t="s">
        <v>511</v>
      </c>
      <c r="B129" s="64">
        <v>0</v>
      </c>
      <c r="C129" s="66">
        <f t="shared" ref="C129:Z129" si="38">B129*(1-$F$86)+C128</f>
        <v>12</v>
      </c>
      <c r="D129" s="66">
        <f t="shared" si="38"/>
        <v>24.12</v>
      </c>
      <c r="E129" s="66">
        <f t="shared" si="38"/>
        <v>36.375600000000006</v>
      </c>
      <c r="F129" s="66">
        <f t="shared" si="38"/>
        <v>48.782700000000006</v>
      </c>
      <c r="G129" s="66">
        <f t="shared" si="38"/>
        <v>61.357521720000008</v>
      </c>
      <c r="H129" s="66">
        <f t="shared" si="38"/>
        <v>74.116630897200011</v>
      </c>
      <c r="I129" s="66">
        <f t="shared" si="38"/>
        <v>87.076960192236015</v>
      </c>
      <c r="J129" s="66">
        <f t="shared" si="38"/>
        <v>100.25583273729902</v>
      </c>
      <c r="K129" s="66">
        <f t="shared" si="38"/>
        <v>113.67098636004334</v>
      </c>
      <c r="L129" s="66">
        <f t="shared" si="38"/>
        <v>127.34059851829986</v>
      </c>
      <c r="M129" s="66">
        <f t="shared" si="38"/>
        <v>141.28331198177099</v>
      </c>
      <c r="N129" s="66">
        <f t="shared" si="38"/>
        <v>155.51826129809879</v>
      </c>
      <c r="O129" s="66">
        <f t="shared" si="38"/>
        <v>170.06510008196801</v>
      </c>
      <c r="P129" s="66">
        <f t="shared" si="38"/>
        <v>184.94402916723362</v>
      </c>
      <c r="Q129" s="66">
        <f t="shared" si="38"/>
        <v>200.17582566345024</v>
      </c>
      <c r="R129" s="66">
        <f t="shared" si="38"/>
        <v>215.78187295962974</v>
      </c>
      <c r="S129" s="66">
        <f t="shared" si="38"/>
        <v>231.78419171956716</v>
      </c>
      <c r="T129" s="66">
        <f t="shared" si="38"/>
        <v>248.2054719146555</v>
      </c>
      <c r="U129" s="66">
        <f t="shared" si="38"/>
        <v>265.06910594175821</v>
      </c>
      <c r="V129" s="66">
        <f t="shared" si="38"/>
        <v>282.39922287542953</v>
      </c>
      <c r="W129" s="66">
        <f t="shared" si="38"/>
        <v>300.2207239055677</v>
      </c>
      <c r="X129" s="66">
        <f t="shared" si="38"/>
        <v>318.55931901345775</v>
      </c>
      <c r="Y129" s="66">
        <f t="shared" si="38"/>
        <v>337.44156494111337</v>
      </c>
      <c r="Z129" s="66">
        <f t="shared" si="38"/>
        <v>356.89490451086169</v>
      </c>
    </row>
    <row r="130" spans="1:26" ht="15" hidden="1" customHeight="1" outlineLevel="1" x14ac:dyDescent="0.3">
      <c r="A130" s="64" t="s">
        <v>512</v>
      </c>
      <c r="B130" s="65">
        <f>-$I$86</f>
        <v>-900000000</v>
      </c>
      <c r="C130" s="65">
        <f t="shared" ref="C130:Z130" si="39">C129*($B$86-$C$86)-C128*$G$86-$H$86</f>
        <v>-275236345.088</v>
      </c>
      <c r="D130" s="65">
        <f t="shared" si="39"/>
        <v>-246465053.62687999</v>
      </c>
      <c r="E130" s="65">
        <f t="shared" si="39"/>
        <v>-217496332.8652544</v>
      </c>
      <c r="F130" s="65">
        <f t="shared" si="39"/>
        <v>-188293682.96036482</v>
      </c>
      <c r="G130" s="65">
        <f t="shared" si="39"/>
        <v>-158820002.15586463</v>
      </c>
      <c r="H130" s="65">
        <f t="shared" si="39"/>
        <v>-129037536.96287186</v>
      </c>
      <c r="I130" s="65">
        <f t="shared" si="39"/>
        <v>-98907831.120536208</v>
      </c>
      <c r="J130" s="65">
        <f t="shared" si="39"/>
        <v>-68391673.264132679</v>
      </c>
      <c r="K130" s="65">
        <f t="shared" si="39"/>
        <v>-37449043.22650975</v>
      </c>
      <c r="L130" s="65">
        <f t="shared" si="39"/>
        <v>-6039056.8964275122</v>
      </c>
      <c r="M130" s="65">
        <f t="shared" si="39"/>
        <v>25880090.445083767</v>
      </c>
      <c r="N130" s="65">
        <f t="shared" si="39"/>
        <v>58351182.391734362</v>
      </c>
      <c r="O130" s="65">
        <f t="shared" si="39"/>
        <v>91418041.366385579</v>
      </c>
      <c r="P130" s="65">
        <f t="shared" si="39"/>
        <v>125125590.34965336</v>
      </c>
      <c r="Q130" s="65">
        <f t="shared" si="39"/>
        <v>159519916.47239345</v>
      </c>
      <c r="R130" s="65">
        <f t="shared" si="39"/>
        <v>194648336.56478065</v>
      </c>
      <c r="S130" s="65">
        <f t="shared" si="39"/>
        <v>230559464.75785863</v>
      </c>
      <c r="T130" s="65">
        <f t="shared" si="39"/>
        <v>267303282.236745</v>
      </c>
      <c r="U130" s="65">
        <f t="shared" si="39"/>
        <v>304931209.24812973</v>
      </c>
      <c r="V130" s="65">
        <f t="shared" si="39"/>
        <v>343496179.46831226</v>
      </c>
      <c r="W130" s="65">
        <f t="shared" si="39"/>
        <v>383052716.84179449</v>
      </c>
      <c r="X130" s="65">
        <f t="shared" si="39"/>
        <v>423657015.00437355</v>
      </c>
      <c r="Y130" s="65">
        <f t="shared" si="39"/>
        <v>465367019.40878844</v>
      </c>
      <c r="Z130" s="65">
        <f t="shared" si="39"/>
        <v>508242512.27525282</v>
      </c>
    </row>
    <row r="131" spans="1:26" ht="15" hidden="1" customHeight="1" outlineLevel="1" x14ac:dyDescent="0.3">
      <c r="A131" s="64" t="s">
        <v>513</v>
      </c>
      <c r="B131" s="65">
        <f>$J$86+B130</f>
        <v>1600000000</v>
      </c>
      <c r="C131" s="65">
        <f t="shared" ref="C131:Z131" si="40">B131+C130</f>
        <v>1324763654.9119999</v>
      </c>
      <c r="D131" s="65">
        <f t="shared" si="40"/>
        <v>1078298601.28512</v>
      </c>
      <c r="E131" s="65">
        <f t="shared" si="40"/>
        <v>860802268.41986561</v>
      </c>
      <c r="F131" s="65">
        <f t="shared" si="40"/>
        <v>672508585.45950079</v>
      </c>
      <c r="G131" s="65">
        <f t="shared" si="40"/>
        <v>513688583.30363619</v>
      </c>
      <c r="H131" s="65">
        <f t="shared" si="40"/>
        <v>384651046.34076434</v>
      </c>
      <c r="I131" s="65">
        <f t="shared" si="40"/>
        <v>285743215.22022814</v>
      </c>
      <c r="J131" s="65">
        <f t="shared" si="40"/>
        <v>217351541.95609546</v>
      </c>
      <c r="K131" s="65">
        <f t="shared" si="40"/>
        <v>179902498.72958571</v>
      </c>
      <c r="L131" s="65">
        <f t="shared" si="40"/>
        <v>173863441.8331582</v>
      </c>
      <c r="M131" s="65">
        <f t="shared" si="40"/>
        <v>199743532.27824196</v>
      </c>
      <c r="N131" s="65">
        <f t="shared" si="40"/>
        <v>258094714.66997632</v>
      </c>
      <c r="O131" s="65">
        <f t="shared" si="40"/>
        <v>349512756.03636193</v>
      </c>
      <c r="P131" s="65">
        <f t="shared" si="40"/>
        <v>474638346.3860153</v>
      </c>
      <c r="Q131" s="65">
        <f t="shared" si="40"/>
        <v>634158262.85840869</v>
      </c>
      <c r="R131" s="65">
        <f t="shared" si="40"/>
        <v>828806599.4231894</v>
      </c>
      <c r="S131" s="65">
        <f t="shared" si="40"/>
        <v>1059366064.181048</v>
      </c>
      <c r="T131" s="65">
        <f t="shared" si="40"/>
        <v>1326669346.417793</v>
      </c>
      <c r="U131" s="65">
        <f t="shared" si="40"/>
        <v>1631600555.6659226</v>
      </c>
      <c r="V131" s="65">
        <f t="shared" si="40"/>
        <v>1975096735.1342349</v>
      </c>
      <c r="W131" s="65">
        <f t="shared" si="40"/>
        <v>2358149451.9760294</v>
      </c>
      <c r="X131" s="65">
        <f t="shared" si="40"/>
        <v>2781806466.9804029</v>
      </c>
      <c r="Y131" s="65">
        <f t="shared" si="40"/>
        <v>3247173486.3891916</v>
      </c>
      <c r="Z131" s="65">
        <f t="shared" si="40"/>
        <v>3755415998.6644444</v>
      </c>
    </row>
    <row r="132" spans="1:26" ht="15" hidden="1" customHeight="1" outlineLevel="1" x14ac:dyDescent="0.3">
      <c r="A132" s="64" t="s">
        <v>514</v>
      </c>
      <c r="B132" s="65">
        <f>B130</f>
        <v>-900000000</v>
      </c>
      <c r="C132" s="65">
        <f t="shared" ref="C132:Z132" si="41">B132+C130</f>
        <v>-1175236345.0880001</v>
      </c>
      <c r="D132" s="65">
        <f t="shared" si="41"/>
        <v>-1421701398.71488</v>
      </c>
      <c r="E132" s="65">
        <f t="shared" si="41"/>
        <v>-1639197731.5801344</v>
      </c>
      <c r="F132" s="65">
        <f t="shared" si="41"/>
        <v>-1827491414.5404992</v>
      </c>
      <c r="G132" s="65">
        <f t="shared" si="41"/>
        <v>-1986311416.6963639</v>
      </c>
      <c r="H132" s="65">
        <f t="shared" si="41"/>
        <v>-2115348953.6592357</v>
      </c>
      <c r="I132" s="65">
        <f t="shared" si="41"/>
        <v>-2214256784.7797718</v>
      </c>
      <c r="J132" s="65">
        <f t="shared" si="41"/>
        <v>-2282648458.0439043</v>
      </c>
      <c r="K132" s="65">
        <f t="shared" si="41"/>
        <v>-2320097501.2704139</v>
      </c>
      <c r="L132" s="65">
        <f t="shared" si="41"/>
        <v>-2326136558.1668415</v>
      </c>
      <c r="M132" s="65">
        <f t="shared" si="41"/>
        <v>-2300256467.7217579</v>
      </c>
      <c r="N132" s="65">
        <f t="shared" si="41"/>
        <v>-2241905285.3300238</v>
      </c>
      <c r="O132" s="65">
        <f t="shared" si="41"/>
        <v>-2150487243.9636383</v>
      </c>
      <c r="P132" s="65">
        <f t="shared" si="41"/>
        <v>-2025361653.6139851</v>
      </c>
      <c r="Q132" s="65">
        <f t="shared" si="41"/>
        <v>-1865841737.1415915</v>
      </c>
      <c r="R132" s="65">
        <f t="shared" si="41"/>
        <v>-1671193400.5768108</v>
      </c>
      <c r="S132" s="65">
        <f t="shared" si="41"/>
        <v>-1440633935.8189521</v>
      </c>
      <c r="T132" s="65">
        <f t="shared" si="41"/>
        <v>-1173330653.5822072</v>
      </c>
      <c r="U132" s="65">
        <f t="shared" si="41"/>
        <v>-868399444.33407748</v>
      </c>
      <c r="V132" s="65">
        <f t="shared" si="41"/>
        <v>-524903264.86576521</v>
      </c>
      <c r="W132" s="65">
        <f t="shared" si="41"/>
        <v>-141850548.02397072</v>
      </c>
      <c r="X132" s="65">
        <f t="shared" si="41"/>
        <v>281806466.98040283</v>
      </c>
      <c r="Y132" s="65">
        <f t="shared" si="41"/>
        <v>747173486.38919127</v>
      </c>
      <c r="Z132" s="65">
        <f t="shared" si="41"/>
        <v>1255415998.664444</v>
      </c>
    </row>
    <row r="133" spans="1:26" ht="15" hidden="1" customHeight="1" outlineLevel="1" x14ac:dyDescent="0.3"/>
    <row r="134" spans="1:26" ht="15" hidden="1" customHeight="1" outlineLevel="1" x14ac:dyDescent="0.3">
      <c r="A134" s="64" t="s">
        <v>515</v>
      </c>
      <c r="C134" s="66">
        <f>$D$87*(1+$E$87)^0</f>
        <v>12</v>
      </c>
      <c r="D134" s="66">
        <f>$D$87*(1+$E$87)^1</f>
        <v>12.600000000000001</v>
      </c>
      <c r="E134" s="66">
        <f>$D$87*(1+$E$87)^2</f>
        <v>13.23</v>
      </c>
      <c r="F134" s="66">
        <f>$D$87*(1+$E$87)^3</f>
        <v>13.891500000000001</v>
      </c>
      <c r="G134" s="66">
        <f>$D$87*(1+$E$87)^4</f>
        <v>14.586075000000001</v>
      </c>
      <c r="H134" s="66">
        <f>$D$87*(1+$E$87)^5</f>
        <v>15.315378750000001</v>
      </c>
      <c r="I134" s="66">
        <f>$D$87*(1+$E$87)^6</f>
        <v>16.0811476875</v>
      </c>
      <c r="J134" s="66">
        <f>$D$87*(1+$E$87)^7</f>
        <v>16.885205071875003</v>
      </c>
      <c r="K134" s="66">
        <f>$D$87*(1+$E$87)^8</f>
        <v>17.729465325468752</v>
      </c>
      <c r="L134" s="66">
        <f>$D$87*(1+$E$87)^9</f>
        <v>18.615938591742189</v>
      </c>
      <c r="M134" s="66">
        <f>$D$87*(1+$E$87)^10</f>
        <v>19.5467355213293</v>
      </c>
      <c r="N134" s="66">
        <f>$D$87*(1+$E$87)^11</f>
        <v>20.524072297395765</v>
      </c>
      <c r="O134" s="66">
        <f>$D$87*(1+$E$87)^12</f>
        <v>21.550275912265551</v>
      </c>
      <c r="P134" s="66">
        <f>$D$87*(1+$E$87)^13</f>
        <v>22.627789707878833</v>
      </c>
      <c r="Q134" s="66">
        <f>$D$87*(1+$E$87)^14</f>
        <v>23.759179193272768</v>
      </c>
      <c r="R134" s="66">
        <f>$D$87*(1+$E$87)^15</f>
        <v>24.947138152936414</v>
      </c>
      <c r="S134" s="66">
        <f>$D$87*(1+$E$87)^16</f>
        <v>26.194495060583233</v>
      </c>
      <c r="T134" s="66">
        <f>$D$87*(1+$E$87)^17</f>
        <v>27.504219813612398</v>
      </c>
      <c r="U134" s="66">
        <f>$D$87*(1+$E$87)^18</f>
        <v>28.879430804293015</v>
      </c>
      <c r="V134" s="66">
        <f>$D$87*(1+$E$87)^19</f>
        <v>30.32340234450767</v>
      </c>
      <c r="W134" s="66">
        <f>$D$87*(1+$E$87)^20</f>
        <v>31.839572461733049</v>
      </c>
      <c r="X134" s="66">
        <f>$D$87*(1+$E$87)^21</f>
        <v>33.431551084819702</v>
      </c>
      <c r="Y134" s="66">
        <f>$D$87*(1+$E$87)^22</f>
        <v>35.103128639060685</v>
      </c>
      <c r="Z134" s="66">
        <f>$D$87*(1+$E$87)^23</f>
        <v>36.858285071013725</v>
      </c>
    </row>
    <row r="135" spans="1:26" ht="15" hidden="1" customHeight="1" outlineLevel="1" x14ac:dyDescent="0.3">
      <c r="A135" s="64" t="s">
        <v>516</v>
      </c>
      <c r="B135" s="64">
        <v>0</v>
      </c>
      <c r="C135" s="66">
        <f t="shared" ref="C135:Z135" si="42">B135*(1-$F$87)+C134</f>
        <v>12</v>
      </c>
      <c r="D135" s="66">
        <f t="shared" si="42"/>
        <v>24.240000000000002</v>
      </c>
      <c r="E135" s="66">
        <f t="shared" si="42"/>
        <v>36.742800000000003</v>
      </c>
      <c r="F135" s="66">
        <f t="shared" si="42"/>
        <v>49.532015999999999</v>
      </c>
      <c r="G135" s="66">
        <f t="shared" si="42"/>
        <v>62.632130519999997</v>
      </c>
      <c r="H135" s="66">
        <f t="shared" si="42"/>
        <v>76.068545354399987</v>
      </c>
      <c r="I135" s="66">
        <f t="shared" si="42"/>
        <v>89.867636681267982</v>
      </c>
      <c r="J135" s="66">
        <f t="shared" si="42"/>
        <v>104.05681265270495</v>
      </c>
      <c r="K135" s="66">
        <f t="shared" si="42"/>
        <v>118.66457359859255</v>
      </c>
      <c r="L135" s="66">
        <f t="shared" si="42"/>
        <v>133.72057498237697</v>
      </c>
      <c r="M135" s="66">
        <f t="shared" si="42"/>
        <v>149.25569325423498</v>
      </c>
      <c r="N135" s="66">
        <f t="shared" si="42"/>
        <v>165.30209475400372</v>
      </c>
      <c r="O135" s="66">
        <f t="shared" si="42"/>
        <v>181.89330782364917</v>
      </c>
      <c r="P135" s="66">
        <f t="shared" si="42"/>
        <v>199.06429829681852</v>
      </c>
      <c r="Q135" s="66">
        <f t="shared" si="42"/>
        <v>216.85154854118673</v>
      </c>
      <c r="R135" s="66">
        <f t="shared" si="42"/>
        <v>235.29314023788754</v>
      </c>
      <c r="S135" s="66">
        <f t="shared" si="42"/>
        <v>254.42884109133414</v>
      </c>
      <c r="T135" s="66">
        <f t="shared" si="42"/>
        <v>274.30019567220648</v>
      </c>
      <c r="U135" s="66">
        <f t="shared" si="42"/>
        <v>294.9506206063333</v>
      </c>
      <c r="V135" s="66">
        <f t="shared" si="42"/>
        <v>316.42550433265097</v>
      </c>
      <c r="W135" s="66">
        <f t="shared" si="42"/>
        <v>338.77231166440447</v>
      </c>
      <c r="X135" s="66">
        <f t="shared" si="42"/>
        <v>362.04069339929202</v>
      </c>
      <c r="Y135" s="66">
        <f t="shared" si="42"/>
        <v>386.28260123637392</v>
      </c>
      <c r="Z135" s="66">
        <f t="shared" si="42"/>
        <v>411.55240827029638</v>
      </c>
    </row>
    <row r="136" spans="1:26" ht="15" hidden="1" customHeight="1" outlineLevel="1" x14ac:dyDescent="0.3">
      <c r="A136" s="64" t="s">
        <v>517</v>
      </c>
      <c r="B136" s="65">
        <f>-$I$87</f>
        <v>-900000000</v>
      </c>
      <c r="C136" s="65">
        <f t="shared" ref="C136:Z136" si="43">C135*($B$87-$C$87)-C134*$G$87-$H$87</f>
        <v>-315236345.088</v>
      </c>
      <c r="D136" s="65">
        <f t="shared" si="43"/>
        <v>-287217417.07775998</v>
      </c>
      <c r="E136" s="65">
        <f t="shared" si="43"/>
        <v>-258750965.0249472</v>
      </c>
      <c r="F136" s="65">
        <f t="shared" si="43"/>
        <v>-229786010.05669481</v>
      </c>
      <c r="G136" s="65">
        <f t="shared" si="43"/>
        <v>-200269882.43661475</v>
      </c>
      <c r="H136" s="65">
        <f t="shared" si="43"/>
        <v>-170148111.2792182</v>
      </c>
      <c r="I136" s="65">
        <f t="shared" si="43"/>
        <v>-139364309.52232859</v>
      </c>
      <c r="J136" s="65">
        <f t="shared" si="43"/>
        <v>-107860053.89722002</v>
      </c>
      <c r="K136" s="65">
        <f t="shared" si="43"/>
        <v>-75574759.623892725</v>
      </c>
      <c r="L136" s="65">
        <f t="shared" si="43"/>
        <v>-42445549.545944721</v>
      </c>
      <c r="M136" s="65">
        <f t="shared" si="43"/>
        <v>-8407117.4058736265</v>
      </c>
      <c r="N136" s="65">
        <f t="shared" si="43"/>
        <v>26608415.052680016</v>
      </c>
      <c r="O136" s="65">
        <f t="shared" si="43"/>
        <v>62671647.484295905</v>
      </c>
      <c r="P136" s="65">
        <f t="shared" si="43"/>
        <v>99856057.187123179</v>
      </c>
      <c r="Q136" s="65">
        <f t="shared" si="43"/>
        <v>138238162.5552333</v>
      </c>
      <c r="R136" s="65">
        <f t="shared" si="43"/>
        <v>177897694.11648631</v>
      </c>
      <c r="S136" s="65">
        <f t="shared" si="43"/>
        <v>218917773.55279732</v>
      </c>
      <c r="T136" s="65">
        <f t="shared" si="43"/>
        <v>261385101.11900914</v>
      </c>
      <c r="U136" s="65">
        <f t="shared" si="43"/>
        <v>305390151.89687443</v>
      </c>
      <c r="V136" s="65">
        <f t="shared" si="43"/>
        <v>351027381.34197569</v>
      </c>
      <c r="W136" s="65">
        <f t="shared" si="43"/>
        <v>398395440.60382426</v>
      </c>
      <c r="X136" s="65">
        <f t="shared" si="43"/>
        <v>447597402.12292266</v>
      </c>
      <c r="Y136" s="65">
        <f t="shared" si="43"/>
        <v>498740996.03330874</v>
      </c>
      <c r="Z136" s="65">
        <f t="shared" si="43"/>
        <v>551938857.92508698</v>
      </c>
    </row>
    <row r="137" spans="1:26" ht="15" hidden="1" customHeight="1" outlineLevel="1" x14ac:dyDescent="0.3">
      <c r="A137" s="64" t="s">
        <v>518</v>
      </c>
      <c r="B137" s="65">
        <f>$J$87+B136</f>
        <v>1600000000</v>
      </c>
      <c r="C137" s="65">
        <f t="shared" ref="C137:Z137" si="44">B137+C136</f>
        <v>1284763654.9119999</v>
      </c>
      <c r="D137" s="65">
        <f t="shared" si="44"/>
        <v>997546237.83423996</v>
      </c>
      <c r="E137" s="65">
        <f t="shared" si="44"/>
        <v>738795272.80929279</v>
      </c>
      <c r="F137" s="65">
        <f t="shared" si="44"/>
        <v>509009262.75259799</v>
      </c>
      <c r="G137" s="65">
        <f t="shared" si="44"/>
        <v>308739380.31598324</v>
      </c>
      <c r="H137" s="65">
        <f t="shared" si="44"/>
        <v>138591269.03676504</v>
      </c>
      <c r="I137" s="65">
        <f t="shared" si="44"/>
        <v>-773040.48556354642</v>
      </c>
      <c r="J137" s="65">
        <f t="shared" si="44"/>
        <v>-108633094.38278356</v>
      </c>
      <c r="K137" s="65">
        <f t="shared" si="44"/>
        <v>-184207854.00667629</v>
      </c>
      <c r="L137" s="65">
        <f t="shared" si="44"/>
        <v>-226653403.55262101</v>
      </c>
      <c r="M137" s="65">
        <f t="shared" si="44"/>
        <v>-235060520.95849463</v>
      </c>
      <c r="N137" s="65">
        <f t="shared" si="44"/>
        <v>-208452105.90581462</v>
      </c>
      <c r="O137" s="65">
        <f t="shared" si="44"/>
        <v>-145780458.42151871</v>
      </c>
      <c r="P137" s="65">
        <f t="shared" si="44"/>
        <v>-45924401.234395534</v>
      </c>
      <c r="Q137" s="65">
        <f t="shared" si="44"/>
        <v>92313761.320837766</v>
      </c>
      <c r="R137" s="65">
        <f t="shared" si="44"/>
        <v>270211455.43732405</v>
      </c>
      <c r="S137" s="65">
        <f t="shared" si="44"/>
        <v>489129228.99012136</v>
      </c>
      <c r="T137" s="65">
        <f t="shared" si="44"/>
        <v>750514330.1091305</v>
      </c>
      <c r="U137" s="65">
        <f t="shared" si="44"/>
        <v>1055904482.0060049</v>
      </c>
      <c r="V137" s="65">
        <f t="shared" si="44"/>
        <v>1406931863.3479805</v>
      </c>
      <c r="W137" s="65">
        <f t="shared" si="44"/>
        <v>1805327303.9518046</v>
      </c>
      <c r="X137" s="65">
        <f t="shared" si="44"/>
        <v>2252924706.0747271</v>
      </c>
      <c r="Y137" s="65">
        <f t="shared" si="44"/>
        <v>2751665702.108036</v>
      </c>
      <c r="Z137" s="65">
        <f t="shared" si="44"/>
        <v>3303604560.033123</v>
      </c>
    </row>
    <row r="138" spans="1:26" ht="15" hidden="1" customHeight="1" outlineLevel="1" x14ac:dyDescent="0.3">
      <c r="A138" s="64" t="s">
        <v>519</v>
      </c>
      <c r="B138" s="65">
        <f>B136</f>
        <v>-900000000</v>
      </c>
      <c r="C138" s="65">
        <f t="shared" ref="C138:Z138" si="45">B138+C136</f>
        <v>-1215236345.0880001</v>
      </c>
      <c r="D138" s="65">
        <f t="shared" si="45"/>
        <v>-1502453762.16576</v>
      </c>
      <c r="E138" s="65">
        <f t="shared" si="45"/>
        <v>-1761204727.1907072</v>
      </c>
      <c r="F138" s="65">
        <f t="shared" si="45"/>
        <v>-1990990737.247402</v>
      </c>
      <c r="G138" s="65">
        <f t="shared" si="45"/>
        <v>-2191260619.6840167</v>
      </c>
      <c r="H138" s="65">
        <f t="shared" si="45"/>
        <v>-2361408730.9632349</v>
      </c>
      <c r="I138" s="65">
        <f t="shared" si="45"/>
        <v>-2500773040.4855633</v>
      </c>
      <c r="J138" s="65">
        <f t="shared" si="45"/>
        <v>-2608633094.3827834</v>
      </c>
      <c r="K138" s="65">
        <f t="shared" si="45"/>
        <v>-2684207854.0066762</v>
      </c>
      <c r="L138" s="65">
        <f t="shared" si="45"/>
        <v>-2726653403.5526209</v>
      </c>
      <c r="M138" s="65">
        <f t="shared" si="45"/>
        <v>-2735060520.9584947</v>
      </c>
      <c r="N138" s="65">
        <f t="shared" si="45"/>
        <v>-2708452105.9058146</v>
      </c>
      <c r="O138" s="65">
        <f t="shared" si="45"/>
        <v>-2645780458.4215188</v>
      </c>
      <c r="P138" s="65">
        <f t="shared" si="45"/>
        <v>-2545924401.2343955</v>
      </c>
      <c r="Q138" s="65">
        <f t="shared" si="45"/>
        <v>-2407686238.679162</v>
      </c>
      <c r="R138" s="65">
        <f t="shared" si="45"/>
        <v>-2229788544.5626755</v>
      </c>
      <c r="S138" s="65">
        <f t="shared" si="45"/>
        <v>-2010870771.0098782</v>
      </c>
      <c r="T138" s="65">
        <f t="shared" si="45"/>
        <v>-1749485669.8908691</v>
      </c>
      <c r="U138" s="65">
        <f t="shared" si="45"/>
        <v>-1444095517.9939947</v>
      </c>
      <c r="V138" s="65">
        <f t="shared" si="45"/>
        <v>-1093068136.652019</v>
      </c>
      <c r="W138" s="65">
        <f t="shared" si="45"/>
        <v>-694672696.04819477</v>
      </c>
      <c r="X138" s="65">
        <f t="shared" si="45"/>
        <v>-247075293.92527211</v>
      </c>
      <c r="Y138" s="65">
        <f t="shared" si="45"/>
        <v>251665702.10803664</v>
      </c>
      <c r="Z138" s="65">
        <f t="shared" si="45"/>
        <v>803604560.03312361</v>
      </c>
    </row>
    <row r="139" spans="1:26" ht="15" hidden="1" customHeight="1" outlineLevel="1" x14ac:dyDescent="0.3"/>
    <row r="140" spans="1:26" ht="15" hidden="1" customHeight="1" outlineLevel="1" x14ac:dyDescent="0.3">
      <c r="A140" s="64" t="s">
        <v>520</v>
      </c>
      <c r="C140" s="66">
        <f>$D$88*(1+$E$88)^0</f>
        <v>12</v>
      </c>
      <c r="D140" s="66">
        <f>$D$88*(1+$E$88)^1</f>
        <v>12.600000000000001</v>
      </c>
      <c r="E140" s="66">
        <f>$D$88*(1+$E$88)^2</f>
        <v>13.23</v>
      </c>
      <c r="F140" s="66">
        <f>$D$88*(1+$E$88)^3</f>
        <v>13.891500000000001</v>
      </c>
      <c r="G140" s="66">
        <f>$D$88*(1+$E$88)^4</f>
        <v>14.586075000000001</v>
      </c>
      <c r="H140" s="66">
        <f>$D$88*(1+$E$88)^5</f>
        <v>15.315378750000001</v>
      </c>
      <c r="I140" s="66">
        <f>$D$88*(1+$E$88)^6</f>
        <v>16.0811476875</v>
      </c>
      <c r="J140" s="66">
        <f>$D$88*(1+$E$88)^7</f>
        <v>16.885205071875003</v>
      </c>
      <c r="K140" s="66">
        <f>$D$88*(1+$E$88)^8</f>
        <v>17.729465325468752</v>
      </c>
      <c r="L140" s="66">
        <f>$D$88*(1+$E$88)^9</f>
        <v>18.615938591742189</v>
      </c>
      <c r="M140" s="66">
        <f>$D$88*(1+$E$88)^10</f>
        <v>19.5467355213293</v>
      </c>
      <c r="N140" s="66">
        <f>$D$88*(1+$E$88)^11</f>
        <v>20.524072297395765</v>
      </c>
      <c r="O140" s="66">
        <f>$D$88*(1+$E$88)^12</f>
        <v>21.550275912265551</v>
      </c>
      <c r="P140" s="66">
        <f>$D$88*(1+$E$88)^13</f>
        <v>22.627789707878833</v>
      </c>
      <c r="Q140" s="66">
        <f>$D$88*(1+$E$88)^14</f>
        <v>23.759179193272768</v>
      </c>
      <c r="R140" s="66">
        <f>$D$88*(1+$E$88)^15</f>
        <v>24.947138152936414</v>
      </c>
      <c r="S140" s="66">
        <f>$D$88*(1+$E$88)^16</f>
        <v>26.194495060583233</v>
      </c>
      <c r="T140" s="66">
        <f>$D$88*(1+$E$88)^17</f>
        <v>27.504219813612398</v>
      </c>
      <c r="U140" s="66">
        <f>$D$88*(1+$E$88)^18</f>
        <v>28.879430804293015</v>
      </c>
      <c r="V140" s="66">
        <f>$D$88*(1+$E$88)^19</f>
        <v>30.32340234450767</v>
      </c>
      <c r="W140" s="66">
        <f>$D$88*(1+$E$88)^20</f>
        <v>31.839572461733049</v>
      </c>
      <c r="X140" s="66">
        <f>$D$88*(1+$E$88)^21</f>
        <v>33.431551084819702</v>
      </c>
      <c r="Y140" s="66">
        <f>$D$88*(1+$E$88)^22</f>
        <v>35.103128639060685</v>
      </c>
      <c r="Z140" s="66">
        <f>$D$88*(1+$E$88)^23</f>
        <v>36.858285071013725</v>
      </c>
    </row>
    <row r="141" spans="1:26" ht="15" hidden="1" customHeight="1" outlineLevel="1" x14ac:dyDescent="0.3">
      <c r="A141" s="64" t="s">
        <v>521</v>
      </c>
      <c r="B141" s="64">
        <v>0</v>
      </c>
      <c r="C141" s="66">
        <f t="shared" ref="C141:Z141" si="46">B141*(1-$F$88)+C140</f>
        <v>12</v>
      </c>
      <c r="D141" s="66">
        <f t="shared" si="46"/>
        <v>24.240000000000002</v>
      </c>
      <c r="E141" s="66">
        <f t="shared" si="46"/>
        <v>36.742800000000003</v>
      </c>
      <c r="F141" s="66">
        <f t="shared" si="46"/>
        <v>49.532015999999999</v>
      </c>
      <c r="G141" s="66">
        <f t="shared" si="46"/>
        <v>62.632130519999997</v>
      </c>
      <c r="H141" s="66">
        <f t="shared" si="46"/>
        <v>76.068545354399987</v>
      </c>
      <c r="I141" s="66">
        <f t="shared" si="46"/>
        <v>89.867636681267982</v>
      </c>
      <c r="J141" s="66">
        <f t="shared" si="46"/>
        <v>104.05681265270495</v>
      </c>
      <c r="K141" s="66">
        <f t="shared" si="46"/>
        <v>118.66457359859255</v>
      </c>
      <c r="L141" s="66">
        <f t="shared" si="46"/>
        <v>133.72057498237697</v>
      </c>
      <c r="M141" s="66">
        <f t="shared" si="46"/>
        <v>149.25569325423498</v>
      </c>
      <c r="N141" s="66">
        <f t="shared" si="46"/>
        <v>165.30209475400372</v>
      </c>
      <c r="O141" s="66">
        <f t="shared" si="46"/>
        <v>181.89330782364917</v>
      </c>
      <c r="P141" s="66">
        <f t="shared" si="46"/>
        <v>199.06429829681852</v>
      </c>
      <c r="Q141" s="66">
        <f t="shared" si="46"/>
        <v>216.85154854118673</v>
      </c>
      <c r="R141" s="66">
        <f t="shared" si="46"/>
        <v>235.29314023788754</v>
      </c>
      <c r="S141" s="66">
        <f t="shared" si="46"/>
        <v>254.42884109133414</v>
      </c>
      <c r="T141" s="66">
        <f t="shared" si="46"/>
        <v>274.30019567220648</v>
      </c>
      <c r="U141" s="66">
        <f t="shared" si="46"/>
        <v>294.9506206063333</v>
      </c>
      <c r="V141" s="66">
        <f t="shared" si="46"/>
        <v>316.42550433265097</v>
      </c>
      <c r="W141" s="66">
        <f t="shared" si="46"/>
        <v>338.77231166440447</v>
      </c>
      <c r="X141" s="66">
        <f t="shared" si="46"/>
        <v>362.04069339929202</v>
      </c>
      <c r="Y141" s="66">
        <f t="shared" si="46"/>
        <v>386.28260123637392</v>
      </c>
      <c r="Z141" s="66">
        <f t="shared" si="46"/>
        <v>411.55240827029638</v>
      </c>
    </row>
    <row r="142" spans="1:26" ht="15" hidden="1" customHeight="1" outlineLevel="1" x14ac:dyDescent="0.3">
      <c r="A142" s="64" t="s">
        <v>522</v>
      </c>
      <c r="B142" s="65">
        <f>-$I$88</f>
        <v>-900000000</v>
      </c>
      <c r="C142" s="65">
        <f t="shared" ref="C142:Z142" si="47">C141*($B$88-$C$88)-C140*$G$88-$H$88</f>
        <v>-290881975.03999996</v>
      </c>
      <c r="D142" s="65">
        <f t="shared" si="47"/>
        <v>-278821589.5808</v>
      </c>
      <c r="E142" s="65">
        <f t="shared" si="47"/>
        <v>-266656319.37497598</v>
      </c>
      <c r="F142" s="65">
        <f t="shared" si="47"/>
        <v>-254365976.14940673</v>
      </c>
      <c r="G142" s="65">
        <f t="shared" si="47"/>
        <v>-241929810.53838855</v>
      </c>
      <c r="H142" s="65">
        <f t="shared" si="47"/>
        <v>-229326470.57937407</v>
      </c>
      <c r="I142" s="65">
        <f t="shared" si="47"/>
        <v>-216533958.53698692</v>
      </c>
      <c r="J142" s="65">
        <f t="shared" si="47"/>
        <v>-203529585.9596211</v>
      </c>
      <c r="K142" s="65">
        <f t="shared" si="47"/>
        <v>-190289926.86851341</v>
      </c>
      <c r="L142" s="65">
        <f t="shared" si="47"/>
        <v>-176790768.97452298</v>
      </c>
      <c r="M142" s="65">
        <f t="shared" si="47"/>
        <v>-163007062.81295553</v>
      </c>
      <c r="N142" s="65">
        <f t="shared" si="47"/>
        <v>-148912868.68161848</v>
      </c>
      <c r="O142" s="65">
        <f t="shared" si="47"/>
        <v>-134481301.26187414</v>
      </c>
      <c r="P142" s="65">
        <f t="shared" si="47"/>
        <v>-119684471.79675737</v>
      </c>
      <c r="Q142" s="65">
        <f t="shared" si="47"/>
        <v>-104493427.69423109</v>
      </c>
      <c r="R142" s="65">
        <f t="shared" si="47"/>
        <v>-88878089.417349428</v>
      </c>
      <c r="S142" s="65">
        <f t="shared" si="47"/>
        <v>-72807184.516471446</v>
      </c>
      <c r="T142" s="65">
        <f t="shared" si="47"/>
        <v>-56248178.651702017</v>
      </c>
      <c r="U142" s="65">
        <f t="shared" si="47"/>
        <v>-39167203.446411788</v>
      </c>
      <c r="V142" s="65">
        <f t="shared" si="47"/>
        <v>-21528981.004993379</v>
      </c>
      <c r="W142" s="65">
        <f t="shared" si="47"/>
        <v>-3296744.9199162126</v>
      </c>
      <c r="X142" s="65">
        <f t="shared" si="47"/>
        <v>15567842.415355086</v>
      </c>
      <c r="Y142" s="65">
        <f t="shared" si="47"/>
        <v>35104776.379951835</v>
      </c>
      <c r="Z142" s="65">
        <f t="shared" si="47"/>
        <v>55355800.787463486</v>
      </c>
    </row>
    <row r="143" spans="1:26" ht="15" hidden="1" customHeight="1" outlineLevel="1" x14ac:dyDescent="0.3">
      <c r="A143" s="64" t="s">
        <v>523</v>
      </c>
      <c r="B143" s="65">
        <f>$J$88+B142</f>
        <v>1600000000</v>
      </c>
      <c r="C143" s="65">
        <f t="shared" ref="C143:Z143" si="48">B143+C142</f>
        <v>1309118024.96</v>
      </c>
      <c r="D143" s="65">
        <f t="shared" si="48"/>
        <v>1030296435.3792</v>
      </c>
      <c r="E143" s="65">
        <f t="shared" si="48"/>
        <v>763640116.00422406</v>
      </c>
      <c r="F143" s="65">
        <f t="shared" si="48"/>
        <v>509274139.85481733</v>
      </c>
      <c r="G143" s="65">
        <f t="shared" si="48"/>
        <v>267344329.31642878</v>
      </c>
      <c r="H143" s="65">
        <f t="shared" si="48"/>
        <v>38017858.737054706</v>
      </c>
      <c r="I143" s="65">
        <f t="shared" si="48"/>
        <v>-178516099.79993221</v>
      </c>
      <c r="J143" s="65">
        <f t="shared" si="48"/>
        <v>-382045685.75955331</v>
      </c>
      <c r="K143" s="65">
        <f t="shared" si="48"/>
        <v>-572335612.62806678</v>
      </c>
      <c r="L143" s="65">
        <f t="shared" si="48"/>
        <v>-749126381.60258973</v>
      </c>
      <c r="M143" s="65">
        <f t="shared" si="48"/>
        <v>-912133444.41554523</v>
      </c>
      <c r="N143" s="65">
        <f t="shared" si="48"/>
        <v>-1061046313.0971637</v>
      </c>
      <c r="O143" s="65">
        <f t="shared" si="48"/>
        <v>-1195527614.3590379</v>
      </c>
      <c r="P143" s="65">
        <f t="shared" si="48"/>
        <v>-1315212086.1557953</v>
      </c>
      <c r="Q143" s="65">
        <f t="shared" si="48"/>
        <v>-1419705513.8500264</v>
      </c>
      <c r="R143" s="65">
        <f t="shared" si="48"/>
        <v>-1508583603.2673757</v>
      </c>
      <c r="S143" s="65">
        <f t="shared" si="48"/>
        <v>-1581390787.7838471</v>
      </c>
      <c r="T143" s="65">
        <f t="shared" si="48"/>
        <v>-1637638966.435549</v>
      </c>
      <c r="U143" s="65">
        <f t="shared" si="48"/>
        <v>-1676806169.8819609</v>
      </c>
      <c r="V143" s="65">
        <f t="shared" si="48"/>
        <v>-1698335150.8869543</v>
      </c>
      <c r="W143" s="65">
        <f t="shared" si="48"/>
        <v>-1701631895.8068705</v>
      </c>
      <c r="X143" s="65">
        <f t="shared" si="48"/>
        <v>-1686064053.3915153</v>
      </c>
      <c r="Y143" s="65">
        <f t="shared" si="48"/>
        <v>-1650959277.0115633</v>
      </c>
      <c r="Z143" s="65">
        <f t="shared" si="48"/>
        <v>-1595603476.2240999</v>
      </c>
    </row>
    <row r="144" spans="1:26" ht="15" hidden="1" customHeight="1" outlineLevel="1" x14ac:dyDescent="0.3">
      <c r="A144" s="64" t="s">
        <v>524</v>
      </c>
      <c r="B144" s="65">
        <f>B142</f>
        <v>-900000000</v>
      </c>
      <c r="C144" s="65">
        <f t="shared" ref="C144:Z144" si="49">B144+C142</f>
        <v>-1190881975.04</v>
      </c>
      <c r="D144" s="65">
        <f t="shared" si="49"/>
        <v>-1469703564.6208</v>
      </c>
      <c r="E144" s="65">
        <f t="shared" si="49"/>
        <v>-1736359883.9957759</v>
      </c>
      <c r="F144" s="65">
        <f t="shared" si="49"/>
        <v>-1990725860.1451826</v>
      </c>
      <c r="G144" s="65">
        <f t="shared" si="49"/>
        <v>-2232655670.6835713</v>
      </c>
      <c r="H144" s="65">
        <f t="shared" si="49"/>
        <v>-2461982141.2629452</v>
      </c>
      <c r="I144" s="65">
        <f t="shared" si="49"/>
        <v>-2678516099.799932</v>
      </c>
      <c r="J144" s="65">
        <f t="shared" si="49"/>
        <v>-2882045685.759553</v>
      </c>
      <c r="K144" s="65">
        <f t="shared" si="49"/>
        <v>-3072335612.6280665</v>
      </c>
      <c r="L144" s="65">
        <f t="shared" si="49"/>
        <v>-3249126381.6025896</v>
      </c>
      <c r="M144" s="65">
        <f t="shared" si="49"/>
        <v>-3412133444.415545</v>
      </c>
      <c r="N144" s="65">
        <f t="shared" si="49"/>
        <v>-3561046313.0971637</v>
      </c>
      <c r="O144" s="65">
        <f t="shared" si="49"/>
        <v>-3695527614.3590379</v>
      </c>
      <c r="P144" s="65">
        <f t="shared" si="49"/>
        <v>-3815212086.1557951</v>
      </c>
      <c r="Q144" s="65">
        <f t="shared" si="49"/>
        <v>-3919705513.8500261</v>
      </c>
      <c r="R144" s="65">
        <f t="shared" si="49"/>
        <v>-4008583603.2673755</v>
      </c>
      <c r="S144" s="65">
        <f t="shared" si="49"/>
        <v>-4081390787.7838469</v>
      </c>
      <c r="T144" s="65">
        <f t="shared" si="49"/>
        <v>-4137638966.4355488</v>
      </c>
      <c r="U144" s="65">
        <f t="shared" si="49"/>
        <v>-4176806169.8819604</v>
      </c>
      <c r="V144" s="65">
        <f t="shared" si="49"/>
        <v>-4198335150.8869538</v>
      </c>
      <c r="W144" s="65">
        <f t="shared" si="49"/>
        <v>-4201631895.80687</v>
      </c>
      <c r="X144" s="65">
        <f t="shared" si="49"/>
        <v>-4186064053.3915148</v>
      </c>
      <c r="Y144" s="65">
        <f t="shared" si="49"/>
        <v>-4150959277.0115628</v>
      </c>
      <c r="Z144" s="65">
        <f t="shared" si="49"/>
        <v>-4095603476.2240992</v>
      </c>
    </row>
    <row r="145" ht="15" hidden="1" customHeight="1" outlineLevel="1" x14ac:dyDescent="0.3"/>
    <row r="146" collapsed="1" x14ac:dyDescent="0.3"/>
  </sheetData>
  <sheetProtection sheet="1" formatColumns="0" formatRows="0"/>
  <mergeCells count="7">
    <mergeCell ref="E77:H77"/>
    <mergeCell ref="E71:H71"/>
    <mergeCell ref="E75:H75"/>
    <mergeCell ref="E73:H73"/>
    <mergeCell ref="E74:H74"/>
    <mergeCell ref="E76:H76"/>
    <mergeCell ref="E72:H72"/>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8"/>
  <sheetViews>
    <sheetView zoomScaleNormal="100" workbookViewId="0"/>
  </sheetViews>
  <sheetFormatPr defaultColWidth="8.6640625" defaultRowHeight="14.4" x14ac:dyDescent="0.3"/>
  <cols>
    <col min="1" max="1" width="48" customWidth="1"/>
    <col min="2" max="4" width="18" customWidth="1"/>
    <col min="5" max="5" width="15" customWidth="1"/>
    <col min="6" max="6" width="40" customWidth="1"/>
    <col min="7" max="7" width="52" customWidth="1"/>
    <col min="60" max="60" width="9.21875" customWidth="1"/>
  </cols>
  <sheetData>
    <row r="1" spans="1:7" ht="17.25" customHeight="1" x14ac:dyDescent="0.3">
      <c r="A1" s="1" t="s">
        <v>525</v>
      </c>
    </row>
    <row r="2" spans="1:7" ht="15" customHeight="1" x14ac:dyDescent="0.3">
      <c r="A2" s="8" t="s">
        <v>526</v>
      </c>
    </row>
    <row r="3" spans="1:7" ht="15" customHeight="1" x14ac:dyDescent="0.3">
      <c r="A3" s="68" t="s">
        <v>527</v>
      </c>
    </row>
    <row r="4" spans="1:7" ht="15" customHeight="1" x14ac:dyDescent="0.3">
      <c r="A4" s="12" t="s">
        <v>311</v>
      </c>
      <c r="B4" s="12" t="s">
        <v>312</v>
      </c>
      <c r="C4" s="12" t="s">
        <v>313</v>
      </c>
      <c r="D4" s="12" t="s">
        <v>314</v>
      </c>
      <c r="E4" s="12" t="s">
        <v>168</v>
      </c>
      <c r="F4" s="12" t="s">
        <v>169</v>
      </c>
      <c r="G4" s="12" t="s">
        <v>315</v>
      </c>
    </row>
    <row r="5" spans="1:7" ht="46.05" customHeight="1" x14ac:dyDescent="0.3">
      <c r="A5" s="33" t="s">
        <v>528</v>
      </c>
      <c r="B5" s="69"/>
      <c r="C5" s="69"/>
      <c r="D5" s="69"/>
      <c r="E5" s="33" t="s">
        <v>529</v>
      </c>
      <c r="F5" s="17" t="s">
        <v>530</v>
      </c>
      <c r="G5" s="93" t="s">
        <v>531</v>
      </c>
    </row>
    <row r="6" spans="1:7" ht="31.5" customHeight="1" x14ac:dyDescent="0.3">
      <c r="A6" s="50" t="s">
        <v>532</v>
      </c>
      <c r="B6" s="69"/>
      <c r="C6" s="69"/>
      <c r="D6" s="69"/>
      <c r="E6" s="33" t="s">
        <v>533</v>
      </c>
      <c r="F6" s="95"/>
      <c r="G6" s="93" t="s">
        <v>534</v>
      </c>
    </row>
    <row r="7" spans="1:7" ht="30" customHeight="1" x14ac:dyDescent="0.3">
      <c r="A7" s="33" t="s">
        <v>535</v>
      </c>
      <c r="B7" s="36"/>
      <c r="C7" s="36"/>
      <c r="D7" s="36"/>
      <c r="E7" s="33" t="s">
        <v>198</v>
      </c>
      <c r="F7" s="95"/>
      <c r="G7" s="93" t="s">
        <v>536</v>
      </c>
    </row>
    <row r="8" spans="1:7" ht="15.75" customHeight="1" x14ac:dyDescent="0.3">
      <c r="A8" s="33" t="s">
        <v>537</v>
      </c>
      <c r="B8" s="53"/>
      <c r="C8" s="53"/>
      <c r="D8" s="53"/>
      <c r="E8" s="33" t="s">
        <v>213</v>
      </c>
      <c r="F8" s="95"/>
      <c r="G8" s="93" t="s">
        <v>538</v>
      </c>
    </row>
    <row r="9" spans="1:7" ht="15.75" customHeight="1" x14ac:dyDescent="0.3">
      <c r="A9" s="33" t="s">
        <v>539</v>
      </c>
      <c r="B9" s="53"/>
      <c r="C9" s="53"/>
      <c r="D9" s="53"/>
      <c r="E9" s="33" t="s">
        <v>261</v>
      </c>
      <c r="F9" s="95"/>
      <c r="G9" s="93" t="s">
        <v>540</v>
      </c>
    </row>
    <row r="10" spans="1:7" ht="15.75" customHeight="1" x14ac:dyDescent="0.3">
      <c r="A10" s="33" t="s">
        <v>541</v>
      </c>
      <c r="B10" s="53"/>
      <c r="C10" s="53"/>
      <c r="D10" s="53"/>
      <c r="E10" s="33" t="s">
        <v>542</v>
      </c>
      <c r="F10" s="95"/>
      <c r="G10" s="93" t="s">
        <v>543</v>
      </c>
    </row>
    <row r="11" spans="1:7" ht="15.75" customHeight="1" x14ac:dyDescent="0.3">
      <c r="A11" s="33" t="s">
        <v>544</v>
      </c>
      <c r="B11" s="53"/>
      <c r="C11" s="53"/>
      <c r="D11" s="53"/>
      <c r="E11" s="33" t="s">
        <v>542</v>
      </c>
      <c r="F11" s="95"/>
      <c r="G11" s="93" t="s">
        <v>545</v>
      </c>
    </row>
    <row r="12" spans="1:7" ht="15.75" customHeight="1" x14ac:dyDescent="0.3">
      <c r="A12" s="33" t="s">
        <v>546</v>
      </c>
      <c r="B12" s="53"/>
      <c r="C12" s="53"/>
      <c r="D12" s="53"/>
      <c r="E12" s="33" t="s">
        <v>261</v>
      </c>
      <c r="F12" s="95"/>
      <c r="G12" s="93" t="s">
        <v>547</v>
      </c>
    </row>
    <row r="13" spans="1:7" ht="16.95" customHeight="1" x14ac:dyDescent="0.3">
      <c r="A13" s="33" t="s">
        <v>346</v>
      </c>
      <c r="B13" s="36">
        <v>0.15</v>
      </c>
      <c r="C13" s="36">
        <v>0.15</v>
      </c>
      <c r="D13" s="36">
        <v>0.15</v>
      </c>
      <c r="E13" s="33" t="s">
        <v>198</v>
      </c>
      <c r="F13" s="17" t="s">
        <v>548</v>
      </c>
      <c r="G13" s="33"/>
    </row>
    <row r="14" spans="1:7" x14ac:dyDescent="0.3">
      <c r="A14" s="92"/>
      <c r="B14" s="92"/>
      <c r="C14" s="92"/>
      <c r="D14" s="92"/>
      <c r="E14" s="92"/>
      <c r="F14" s="34"/>
      <c r="G14" s="34"/>
    </row>
    <row r="15" spans="1:7" ht="26.25" customHeight="1" x14ac:dyDescent="0.3">
      <c r="A15" s="88" t="s">
        <v>549</v>
      </c>
      <c r="B15" s="88" t="s">
        <v>312</v>
      </c>
      <c r="C15" s="88" t="s">
        <v>313</v>
      </c>
      <c r="D15" s="88" t="s">
        <v>314</v>
      </c>
      <c r="E15" s="88" t="s">
        <v>359</v>
      </c>
    </row>
    <row r="16" spans="1:7" ht="15" customHeight="1" x14ac:dyDescent="0.3">
      <c r="A16" s="37" t="s">
        <v>550</v>
      </c>
      <c r="B16" s="38">
        <f>B5*B6*52/12*B7*B8+B9</f>
        <v>0</v>
      </c>
      <c r="C16" s="38">
        <f>C5*C6*52/12*C7*C8+C9</f>
        <v>0</v>
      </c>
      <c r="D16" s="38">
        <f>D5*D6*52/12*D7*D8+D9</f>
        <v>0</v>
      </c>
      <c r="E16" s="37"/>
    </row>
    <row r="17" spans="1:5" ht="15" customHeight="1" x14ac:dyDescent="0.3">
      <c r="A17" s="37" t="s">
        <v>551</v>
      </c>
      <c r="B17" s="38">
        <f>B16-B12</f>
        <v>0</v>
      </c>
      <c r="C17" s="38">
        <f>C16-C12</f>
        <v>0</v>
      </c>
      <c r="D17" s="38">
        <f>D16-D12</f>
        <v>0</v>
      </c>
      <c r="E17" s="37" t="s">
        <v>411</v>
      </c>
    </row>
    <row r="18" spans="1:5" ht="15" customHeight="1" x14ac:dyDescent="0.3">
      <c r="A18" s="37" t="s">
        <v>552</v>
      </c>
      <c r="B18" s="38">
        <f>B10+B11</f>
        <v>0</v>
      </c>
      <c r="C18" s="38">
        <f>C10+C11</f>
        <v>0</v>
      </c>
      <c r="D18" s="38">
        <f>D10+D11</f>
        <v>0</v>
      </c>
      <c r="E18" s="37"/>
    </row>
    <row r="19" spans="1:5" ht="15" customHeight="1" x14ac:dyDescent="0.3">
      <c r="A19" s="37" t="s">
        <v>553</v>
      </c>
      <c r="B19" s="70" t="str">
        <f>IF(B5=0,"Chưa điền",IF(B17&gt;0,B18/B17,"Không hoàn vốn"))</f>
        <v>Chưa điền</v>
      </c>
      <c r="C19" s="70" t="str">
        <f>IF(C5=0,"Chưa điền",IF(C17&gt;0,C18/C17,"Không hoàn vốn"))</f>
        <v>Chưa điền</v>
      </c>
      <c r="D19" s="70" t="str">
        <f>IF(D5=0,"Chưa điền",IF(D17&gt;0,D18/D17,"Không hoàn vốn"))</f>
        <v>Chưa điền</v>
      </c>
      <c r="E19" s="37" t="s">
        <v>368</v>
      </c>
    </row>
    <row r="20" spans="1:5" ht="15" customHeight="1" x14ac:dyDescent="0.3">
      <c r="A20" s="37" t="s">
        <v>554</v>
      </c>
      <c r="B20" s="40">
        <f>IFERROR((12*B17-B18)/B18,0)</f>
        <v>0</v>
      </c>
      <c r="C20" s="40">
        <f>IFERROR((12*C17-C18)/C18,0)</f>
        <v>0</v>
      </c>
      <c r="D20" s="40">
        <f>IFERROR((12*D17-D18)/D18,0)</f>
        <v>0</v>
      </c>
      <c r="E20" s="37" t="s">
        <v>411</v>
      </c>
    </row>
    <row r="21" spans="1:5" ht="15" customHeight="1" x14ac:dyDescent="0.3">
      <c r="A21" s="37" t="s">
        <v>555</v>
      </c>
      <c r="B21" s="39">
        <f>PV(B13/12,24,-B17)-B18</f>
        <v>0</v>
      </c>
      <c r="C21" s="39">
        <f>PV(C13/12,24,-C17)-C18</f>
        <v>0</v>
      </c>
      <c r="D21" s="39">
        <f>PV(D13/12,24,-D17)-D18</f>
        <v>0</v>
      </c>
      <c r="E21" s="37" t="s">
        <v>411</v>
      </c>
    </row>
    <row r="22" spans="1:5" ht="15" customHeight="1" x14ac:dyDescent="0.3">
      <c r="A22" s="37" t="s">
        <v>556</v>
      </c>
      <c r="B22" s="56" t="str">
        <f>IF(B5=0,"Chưa điền",IF(NOT(ISNUMBER(B19)),"Dừng",IF(B19&lt;12,"Làm","Thử nghiệm nhỏ")))</f>
        <v>Chưa điền</v>
      </c>
      <c r="C22" s="56" t="str">
        <f>IF(C5=0,"Chưa điền",IF(NOT(ISNUMBER(C19)),"Dừng",IF(C19&lt;12,"Làm","Thử nghiệm nhỏ")))</f>
        <v>Chưa điền</v>
      </c>
      <c r="D22" s="56" t="str">
        <f>IF(D5=0,"Chưa điền",IF(NOT(ISNUMBER(D19)),"Dừng",IF(D19&lt;12,"Làm","Thử nghiệm nhỏ")))</f>
        <v>Chưa điền</v>
      </c>
      <c r="E22" s="99" t="s">
        <v>557</v>
      </c>
    </row>
    <row r="24" spans="1:5" x14ac:dyDescent="0.3">
      <c r="A24" s="87"/>
      <c r="B24" s="87"/>
      <c r="C24" s="87"/>
      <c r="D24" s="87"/>
      <c r="E24" s="87"/>
    </row>
    <row r="25" spans="1:5" x14ac:dyDescent="0.3">
      <c r="A25" s="87"/>
      <c r="B25" s="87"/>
      <c r="C25" s="87"/>
      <c r="D25" s="87"/>
      <c r="E25" s="87"/>
    </row>
    <row r="26" spans="1:5" x14ac:dyDescent="0.3">
      <c r="A26" s="87"/>
      <c r="B26" s="87"/>
      <c r="C26" s="87"/>
      <c r="D26" s="87"/>
      <c r="E26" s="87"/>
    </row>
    <row r="27" spans="1:5" x14ac:dyDescent="0.3">
      <c r="A27" s="87"/>
      <c r="B27" s="87"/>
      <c r="C27" s="87"/>
      <c r="D27" s="87"/>
      <c r="E27" s="87"/>
    </row>
    <row r="28" spans="1:5" x14ac:dyDescent="0.3">
      <c r="A28" s="87"/>
      <c r="B28" s="87"/>
      <c r="C28" s="87"/>
      <c r="D28" s="87"/>
      <c r="E28" s="87"/>
    </row>
  </sheetData>
  <sheetProtection sheet="1" formatColumns="0" formatRows="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zoomScaleNormal="100" workbookViewId="0">
      <selection activeCell="G15" sqref="G15"/>
    </sheetView>
  </sheetViews>
  <sheetFormatPr defaultColWidth="8.6640625" defaultRowHeight="14.4" x14ac:dyDescent="0.3"/>
  <cols>
    <col min="1" max="1" width="60" customWidth="1"/>
    <col min="2" max="2" width="24" customWidth="1"/>
    <col min="3" max="3" width="26" customWidth="1"/>
    <col min="60" max="60" width="9.21875" customWidth="1"/>
  </cols>
  <sheetData>
    <row r="1" spans="1:3" ht="17.25" customHeight="1" x14ac:dyDescent="0.3">
      <c r="A1" s="1" t="s">
        <v>558</v>
      </c>
    </row>
    <row r="2" spans="1:3" ht="31.5" customHeight="1" x14ac:dyDescent="0.3">
      <c r="A2" s="80" t="s">
        <v>559</v>
      </c>
      <c r="B2" s="73"/>
      <c r="C2" s="73"/>
    </row>
    <row r="4" spans="1:3" ht="15" customHeight="1" x14ac:dyDescent="0.3">
      <c r="A4" s="12" t="s">
        <v>560</v>
      </c>
      <c r="B4" s="12" t="s">
        <v>561</v>
      </c>
      <c r="C4" s="12" t="s">
        <v>562</v>
      </c>
    </row>
    <row r="5" spans="1:3" ht="15" customHeight="1" x14ac:dyDescent="0.3">
      <c r="A5" s="37" t="s">
        <v>563</v>
      </c>
      <c r="B5" s="40">
        <f>'1_Chi phí mỗi việc'!B25</f>
        <v>1.7690598508328739</v>
      </c>
      <c r="C5" s="45" t="str">
        <f>IF(B5&gt;=0.3,"Đạt","Xem lại")</f>
        <v>Đạt</v>
      </c>
    </row>
    <row r="6" spans="1:3" ht="15" customHeight="1" x14ac:dyDescent="0.3">
      <c r="A6" s="37" t="s">
        <v>564</v>
      </c>
      <c r="B6" s="40">
        <f>'4_Chỉ số mỗi khách'!C7</f>
        <v>0.68773415012594452</v>
      </c>
      <c r="C6" s="45" t="str">
        <f>IF(B6&gt;=0.6,"Đạt","Xem lại")</f>
        <v>Đạt</v>
      </c>
    </row>
    <row r="7" spans="1:3" ht="15" customHeight="1" x14ac:dyDescent="0.3">
      <c r="A7" s="37" t="s">
        <v>565</v>
      </c>
      <c r="B7" s="71">
        <f>'4_Chỉ số mỗi khách'!C11</f>
        <v>10.112239170370371</v>
      </c>
      <c r="C7" s="45" t="str">
        <f>IF(B7&gt;3,"Đạt","Xem lại")</f>
        <v>Đạt</v>
      </c>
    </row>
    <row r="8" spans="1:3" ht="15" customHeight="1" x14ac:dyDescent="0.3">
      <c r="A8" s="37" t="s">
        <v>566</v>
      </c>
      <c r="B8" s="54">
        <f>'4_Chỉ số mỗi khách'!C12</f>
        <v>3.2963355367426965</v>
      </c>
      <c r="C8" s="45" t="str">
        <f>IF(AND(B8&gt;0,B8&lt;12),"Đạt","Xem lại")</f>
        <v>Đạt</v>
      </c>
    </row>
    <row r="9" spans="1:3" ht="15" customHeight="1" x14ac:dyDescent="0.3">
      <c r="A9" s="37" t="s">
        <v>567</v>
      </c>
      <c r="B9" s="45" t="str">
        <f>IF(AND('3_Giả định'!C9&gt;0,'3_Giả định'!C10&gt;0,'3_Giả định'!D9&gt;=1.5*'3_Giả định'!C9,'3_Giả định'!D10&gt;=1.5*'3_Giả định'!C10),"Có","Không")</f>
        <v>Có</v>
      </c>
      <c r="C9" s="45" t="str">
        <f>IF(B9="Có","Đạt","Xem lại")</f>
        <v>Đạt</v>
      </c>
    </row>
    <row r="10" spans="1:3" ht="15" customHeight="1" x14ac:dyDescent="0.3">
      <c r="A10" s="37" t="s">
        <v>568</v>
      </c>
      <c r="B10" s="58">
        <f>'5_Dòng tiền &amp; hiệu quả'!D47</f>
        <v>7</v>
      </c>
      <c r="C10" s="45" t="str">
        <f>IF(B10="Chưa điền","Chưa điền",IF(ISNUMBER(B10),IF(B10&gt;=12,"Đạt","Cần kế hoạch cắt giảm"),"Đạt"))</f>
        <v>Cần kế hoạch cắt giảm</v>
      </c>
    </row>
    <row r="11" spans="1:3" ht="15" customHeight="1" x14ac:dyDescent="0.3">
      <c r="A11" s="37" t="s">
        <v>569</v>
      </c>
      <c r="B11" s="38">
        <f>'5_Dòng tiền &amp; hiệu quả'!C44</f>
        <v>935463001.14868689</v>
      </c>
      <c r="C11" s="45" t="str">
        <f>IF(B11&gt;0,"Đạt","Xem lại")</f>
        <v>Đạt</v>
      </c>
    </row>
    <row r="12" spans="1:3" ht="15" customHeight="1" x14ac:dyDescent="0.3">
      <c r="A12" s="37" t="s">
        <v>570</v>
      </c>
      <c r="B12" s="45" t="str">
        <f>'5_Dòng tiền &amp; hiệu quả'!B66</f>
        <v>Doanh thu bình quân giảm</v>
      </c>
      <c r="C12" s="45" t="str">
        <f>IF(B12="Chưa đủ số liệu","Xem lại","Ghi vào câu 3")</f>
        <v>Ghi vào câu 3</v>
      </c>
    </row>
    <row r="13" spans="1:3" ht="16.5" customHeight="1" x14ac:dyDescent="0.3">
      <c r="A13" s="81" t="s">
        <v>571</v>
      </c>
      <c r="B13" s="73"/>
      <c r="C13" s="73"/>
    </row>
    <row r="14" spans="1:3" ht="48.75" customHeight="1" x14ac:dyDescent="0.3">
      <c r="A14" s="75" t="s">
        <v>572</v>
      </c>
      <c r="B14" s="73"/>
      <c r="C14" s="73"/>
    </row>
    <row r="15" spans="1:3" ht="75" customHeight="1" x14ac:dyDescent="0.3">
      <c r="A15" s="117" t="s">
        <v>573</v>
      </c>
      <c r="B15" s="109"/>
      <c r="C15" s="109"/>
    </row>
    <row r="17" spans="1:3" ht="18.75" customHeight="1" x14ac:dyDescent="0.3">
      <c r="A17" s="75" t="s">
        <v>574</v>
      </c>
      <c r="B17" s="73"/>
      <c r="C17" s="73"/>
    </row>
    <row r="18" spans="1:3" ht="61.05" customHeight="1" x14ac:dyDescent="0.3">
      <c r="A18" s="117" t="s">
        <v>575</v>
      </c>
      <c r="B18" s="109"/>
      <c r="C18" s="109"/>
    </row>
    <row r="20" spans="1:3" ht="18.75" customHeight="1" x14ac:dyDescent="0.3">
      <c r="A20" s="75" t="s">
        <v>576</v>
      </c>
      <c r="B20" s="73"/>
      <c r="C20" s="73"/>
    </row>
    <row r="21" spans="1:3" ht="46.05" customHeight="1" x14ac:dyDescent="0.3">
      <c r="A21" s="117" t="s">
        <v>577</v>
      </c>
      <c r="B21" s="109"/>
      <c r="C21" s="109"/>
    </row>
    <row r="23" spans="1:3" ht="63.75" customHeight="1" x14ac:dyDescent="0.3">
      <c r="A23" s="75" t="s">
        <v>578</v>
      </c>
      <c r="B23" s="73"/>
      <c r="C23" s="73"/>
    </row>
    <row r="24" spans="1:3" ht="61.05" customHeight="1" x14ac:dyDescent="0.3">
      <c r="A24" s="117" t="s">
        <v>579</v>
      </c>
      <c r="B24" s="109"/>
      <c r="C24" s="109"/>
    </row>
    <row r="26" spans="1:3" ht="33.75" customHeight="1" x14ac:dyDescent="0.3">
      <c r="A26" s="75" t="s">
        <v>580</v>
      </c>
      <c r="B26" s="73"/>
      <c r="C26" s="73"/>
    </row>
    <row r="27" spans="1:3" ht="61.05" customHeight="1" x14ac:dyDescent="0.3">
      <c r="A27" s="74" t="s">
        <v>581</v>
      </c>
      <c r="B27" s="109"/>
      <c r="C27" s="109"/>
    </row>
  </sheetData>
  <sheetProtection sheet="1" formatColumns="0" formatRows="0"/>
  <mergeCells count="12">
    <mergeCell ref="A2:C2"/>
    <mergeCell ref="A27:C27"/>
    <mergeCell ref="A21:C21"/>
    <mergeCell ref="A15:C15"/>
    <mergeCell ref="A20:C20"/>
    <mergeCell ref="A24:C24"/>
    <mergeCell ref="A13:C13"/>
    <mergeCell ref="A26:C26"/>
    <mergeCell ref="A23:C23"/>
    <mergeCell ref="A14:C14"/>
    <mergeCell ref="A17:C17"/>
    <mergeCell ref="A18:C18"/>
  </mergeCells>
  <pageMargins left="0.75" right="0.75" top="1" bottom="1" header="0.511811023622047" footer="0.511811023622047"/>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topLeftCell="A13" zoomScaleNormal="100" workbookViewId="0"/>
  </sheetViews>
  <sheetFormatPr defaultColWidth="8.6640625" defaultRowHeight="14.4" x14ac:dyDescent="0.3"/>
  <cols>
    <col min="1" max="1" width="28" customWidth="1"/>
    <col min="2" max="2" width="30" customWidth="1"/>
    <col min="3" max="3" width="80" customWidth="1"/>
    <col min="4" max="4" width="40" customWidth="1"/>
  </cols>
  <sheetData>
    <row r="1" spans="1:4" ht="17.25" customHeight="1" x14ac:dyDescent="0.3">
      <c r="A1" s="1" t="s">
        <v>582</v>
      </c>
    </row>
    <row r="2" spans="1:4" ht="15" customHeight="1" x14ac:dyDescent="0.3">
      <c r="A2" s="8" t="s">
        <v>583</v>
      </c>
    </row>
    <row r="4" spans="1:4" ht="15" customHeight="1" x14ac:dyDescent="0.3">
      <c r="A4" s="12" t="s">
        <v>584</v>
      </c>
      <c r="B4" s="12" t="s">
        <v>585</v>
      </c>
      <c r="C4" s="12" t="s">
        <v>586</v>
      </c>
      <c r="D4" s="12" t="s">
        <v>587</v>
      </c>
    </row>
    <row r="5" spans="1:4" ht="15" customHeight="1" x14ac:dyDescent="0.3">
      <c r="A5" s="37" t="s">
        <v>588</v>
      </c>
      <c r="B5" s="37">
        <v>10</v>
      </c>
      <c r="C5" s="10" t="s">
        <v>589</v>
      </c>
      <c r="D5" s="118"/>
    </row>
    <row r="6" spans="1:4" ht="15" customHeight="1" x14ac:dyDescent="0.3">
      <c r="A6" s="37" t="s">
        <v>590</v>
      </c>
      <c r="B6" s="37">
        <v>15</v>
      </c>
      <c r="C6" s="10" t="s">
        <v>591</v>
      </c>
      <c r="D6" s="118"/>
    </row>
    <row r="7" spans="1:4" ht="15" customHeight="1" x14ac:dyDescent="0.3">
      <c r="A7" s="37" t="s">
        <v>592</v>
      </c>
      <c r="B7" s="37">
        <v>15</v>
      </c>
      <c r="C7" s="10" t="s">
        <v>593</v>
      </c>
      <c r="D7" s="118"/>
    </row>
    <row r="8" spans="1:4" ht="15" customHeight="1" x14ac:dyDescent="0.3">
      <c r="A8" s="37" t="s">
        <v>594</v>
      </c>
      <c r="B8" s="37">
        <v>20</v>
      </c>
      <c r="C8" s="10" t="s">
        <v>595</v>
      </c>
      <c r="D8" s="118"/>
    </row>
    <row r="9" spans="1:4" ht="15" customHeight="1" x14ac:dyDescent="0.3">
      <c r="A9" s="37" t="s">
        <v>596</v>
      </c>
      <c r="B9" s="37">
        <v>20</v>
      </c>
      <c r="C9" s="10" t="s">
        <v>597</v>
      </c>
      <c r="D9" s="118"/>
    </row>
    <row r="10" spans="1:4" ht="15" customHeight="1" x14ac:dyDescent="0.3">
      <c r="A10" s="37" t="s">
        <v>598</v>
      </c>
      <c r="B10" s="37">
        <v>20</v>
      </c>
      <c r="C10" s="10" t="s">
        <v>599</v>
      </c>
      <c r="D10" s="118"/>
    </row>
    <row r="11" spans="1:4" ht="15" customHeight="1" x14ac:dyDescent="0.3">
      <c r="A11" s="91" t="s">
        <v>600</v>
      </c>
      <c r="B11" s="37">
        <f>SUM(B5:B10)</f>
        <v>100</v>
      </c>
      <c r="C11" s="37"/>
      <c r="D11" s="45">
        <f>SUM(D5:D10)</f>
        <v>0</v>
      </c>
    </row>
    <row r="12" spans="1:4" ht="15" customHeight="1" x14ac:dyDescent="0.3">
      <c r="A12" s="91" t="s">
        <v>601</v>
      </c>
      <c r="B12" s="37" t="s">
        <v>602</v>
      </c>
      <c r="C12" s="37" t="s">
        <v>603</v>
      </c>
      <c r="D12" s="118"/>
    </row>
    <row r="15" spans="1:4" ht="15" customHeight="1" x14ac:dyDescent="0.3">
      <c r="A15" s="57" t="s">
        <v>604</v>
      </c>
    </row>
    <row r="16" spans="1:4" ht="15" customHeight="1" x14ac:dyDescent="0.3">
      <c r="A16" s="12" t="s">
        <v>584</v>
      </c>
      <c r="B16" s="12" t="s">
        <v>605</v>
      </c>
      <c r="C16" s="12" t="s">
        <v>606</v>
      </c>
      <c r="D16" s="12" t="s">
        <v>607</v>
      </c>
    </row>
    <row r="17" spans="1:4" ht="45.75" customHeight="1" x14ac:dyDescent="0.3">
      <c r="A17" s="119" t="s">
        <v>608</v>
      </c>
      <c r="B17" s="28" t="s">
        <v>609</v>
      </c>
      <c r="C17" s="28" t="s">
        <v>610</v>
      </c>
      <c r="D17" s="28" t="s">
        <v>611</v>
      </c>
    </row>
    <row r="18" spans="1:4" ht="45.75" customHeight="1" x14ac:dyDescent="0.3">
      <c r="A18" s="119" t="s">
        <v>612</v>
      </c>
      <c r="B18" s="28" t="s">
        <v>613</v>
      </c>
      <c r="C18" s="28" t="s">
        <v>614</v>
      </c>
      <c r="D18" s="28" t="s">
        <v>615</v>
      </c>
    </row>
    <row r="19" spans="1:4" ht="45.75" customHeight="1" x14ac:dyDescent="0.3">
      <c r="A19" s="119" t="s">
        <v>616</v>
      </c>
      <c r="B19" s="28" t="s">
        <v>617</v>
      </c>
      <c r="C19" s="28" t="s">
        <v>618</v>
      </c>
      <c r="D19" s="28" t="s">
        <v>619</v>
      </c>
    </row>
    <row r="20" spans="1:4" ht="45.75" customHeight="1" x14ac:dyDescent="0.3">
      <c r="A20" s="119" t="s">
        <v>620</v>
      </c>
      <c r="B20" s="28" t="s">
        <v>621</v>
      </c>
      <c r="C20" s="28" t="s">
        <v>622</v>
      </c>
      <c r="D20" s="28" t="s">
        <v>623</v>
      </c>
    </row>
    <row r="22" spans="1:4" ht="15" customHeight="1" x14ac:dyDescent="0.3">
      <c r="A22" s="41" t="s">
        <v>624</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defaultColWidth="8.6640625" defaultRowHeight="14.4" x14ac:dyDescent="0.3"/>
  <cols>
    <col min="1" max="1" width="44" customWidth="1"/>
    <col min="2" max="3" width="22" customWidth="1"/>
    <col min="4" max="4" width="70" customWidth="1"/>
    <col min="5" max="5" width="48" customWidth="1"/>
  </cols>
  <sheetData>
    <row r="1" spans="1:5" ht="15" customHeight="1" x14ac:dyDescent="0.3">
      <c r="A1" s="57" t="s">
        <v>625</v>
      </c>
    </row>
    <row r="2" spans="1:5" ht="15" customHeight="1" x14ac:dyDescent="0.3">
      <c r="A2" s="41" t="s">
        <v>626</v>
      </c>
    </row>
    <row r="4" spans="1:5" ht="27.75" customHeight="1" x14ac:dyDescent="0.3">
      <c r="A4" s="12" t="s">
        <v>627</v>
      </c>
      <c r="B4" s="12" t="s">
        <v>628</v>
      </c>
      <c r="C4" s="12" t="s">
        <v>629</v>
      </c>
      <c r="D4" s="12" t="s">
        <v>630</v>
      </c>
      <c r="E4" s="12" t="s">
        <v>61</v>
      </c>
    </row>
    <row r="5" spans="1:5" ht="15" customHeight="1" x14ac:dyDescent="0.3">
      <c r="A5" s="18" t="s">
        <v>631</v>
      </c>
      <c r="B5" s="120">
        <v>0.1</v>
      </c>
      <c r="C5" s="120">
        <v>0.5</v>
      </c>
      <c r="D5" s="18" t="s">
        <v>632</v>
      </c>
      <c r="E5" s="18" t="s">
        <v>633</v>
      </c>
    </row>
    <row r="6" spans="1:5" ht="15" customHeight="1" x14ac:dyDescent="0.3">
      <c r="A6" s="18" t="s">
        <v>634</v>
      </c>
      <c r="B6" s="120">
        <v>2</v>
      </c>
      <c r="C6" s="120">
        <v>10</v>
      </c>
      <c r="D6" s="18" t="s">
        <v>635</v>
      </c>
      <c r="E6" s="18" t="s">
        <v>636</v>
      </c>
    </row>
    <row r="7" spans="1:5" ht="15" customHeight="1" x14ac:dyDescent="0.3">
      <c r="A7" s="18" t="s">
        <v>637</v>
      </c>
      <c r="B7" s="120">
        <v>1</v>
      </c>
      <c r="C7" s="120">
        <v>5</v>
      </c>
      <c r="D7" s="18" t="s">
        <v>638</v>
      </c>
      <c r="E7" s="18"/>
    </row>
    <row r="8" spans="1:5" ht="15" customHeight="1" x14ac:dyDescent="0.3">
      <c r="A8" s="18" t="s">
        <v>639</v>
      </c>
      <c r="B8" s="120">
        <v>2</v>
      </c>
      <c r="C8" s="120">
        <v>10</v>
      </c>
      <c r="D8" s="18" t="s">
        <v>638</v>
      </c>
      <c r="E8" s="18" t="s">
        <v>640</v>
      </c>
    </row>
    <row r="11" spans="1:5" ht="15" customHeight="1" x14ac:dyDescent="0.3">
      <c r="A11" s="12" t="s">
        <v>641</v>
      </c>
      <c r="B11" s="12" t="s">
        <v>167</v>
      </c>
      <c r="C11" s="12" t="s">
        <v>168</v>
      </c>
      <c r="D11" s="12" t="s">
        <v>642</v>
      </c>
      <c r="E11" s="12" t="s">
        <v>61</v>
      </c>
    </row>
    <row r="12" spans="1:5" ht="15" customHeight="1" x14ac:dyDescent="0.3">
      <c r="A12" s="18" t="s">
        <v>643</v>
      </c>
      <c r="B12" s="121">
        <v>26170</v>
      </c>
      <c r="C12" s="18" t="s">
        <v>194</v>
      </c>
      <c r="D12" s="18" t="s">
        <v>644</v>
      </c>
      <c r="E12" s="18" t="s">
        <v>645</v>
      </c>
    </row>
    <row r="13" spans="1:5" ht="15" customHeight="1" x14ac:dyDescent="0.3">
      <c r="A13" s="18" t="s">
        <v>646</v>
      </c>
      <c r="B13" s="121">
        <v>25636</v>
      </c>
      <c r="C13" s="18" t="s">
        <v>194</v>
      </c>
      <c r="D13" s="18" t="s">
        <v>647</v>
      </c>
      <c r="E13" s="18" t="s">
        <v>648</v>
      </c>
    </row>
    <row r="14" spans="1:5" ht="15" customHeight="1" x14ac:dyDescent="0.3">
      <c r="A14" s="18" t="s">
        <v>649</v>
      </c>
      <c r="B14" s="121">
        <v>5310000</v>
      </c>
      <c r="C14" s="18" t="s">
        <v>261</v>
      </c>
      <c r="D14" s="18" t="s">
        <v>650</v>
      </c>
      <c r="E14" s="18" t="s">
        <v>651</v>
      </c>
    </row>
    <row r="15" spans="1:5" ht="15" customHeight="1" x14ac:dyDescent="0.3">
      <c r="A15" s="18" t="s">
        <v>652</v>
      </c>
      <c r="B15" s="121">
        <v>25500</v>
      </c>
      <c r="C15" s="18" t="s">
        <v>213</v>
      </c>
      <c r="D15" s="18" t="s">
        <v>650</v>
      </c>
      <c r="E15" s="18" t="s">
        <v>653</v>
      </c>
    </row>
    <row r="18" spans="1:5" ht="15" customHeight="1" x14ac:dyDescent="0.3">
      <c r="A18" s="12" t="s">
        <v>654</v>
      </c>
      <c r="B18" s="12" t="s">
        <v>655</v>
      </c>
    </row>
    <row r="19" spans="1:5" ht="48" customHeight="1" x14ac:dyDescent="0.3">
      <c r="A19" s="28" t="s">
        <v>656</v>
      </c>
      <c r="B19" s="122" t="s">
        <v>657</v>
      </c>
      <c r="C19" s="101"/>
      <c r="D19" s="101"/>
      <c r="E19" s="101"/>
    </row>
    <row r="20" spans="1:5" ht="48" customHeight="1" x14ac:dyDescent="0.3">
      <c r="A20" s="28" t="s">
        <v>658</v>
      </c>
      <c r="B20" s="122" t="s">
        <v>659</v>
      </c>
      <c r="C20" s="101"/>
      <c r="D20" s="101"/>
      <c r="E20" s="101"/>
    </row>
    <row r="21" spans="1:5" ht="48" customHeight="1" x14ac:dyDescent="0.3">
      <c r="A21" s="28" t="s">
        <v>660</v>
      </c>
      <c r="B21" s="122" t="s">
        <v>661</v>
      </c>
      <c r="C21" s="101"/>
      <c r="D21" s="101"/>
      <c r="E21" s="101"/>
    </row>
    <row r="23" spans="1:5" ht="15" customHeight="1" x14ac:dyDescent="0.3">
      <c r="A23" s="12" t="s">
        <v>662</v>
      </c>
      <c r="B23" s="12" t="s">
        <v>663</v>
      </c>
    </row>
    <row r="24" spans="1:5" ht="48" customHeight="1" x14ac:dyDescent="0.3">
      <c r="A24" s="28" t="s">
        <v>664</v>
      </c>
      <c r="B24" s="122" t="s">
        <v>665</v>
      </c>
      <c r="C24" s="101"/>
      <c r="D24" s="101"/>
      <c r="E24" s="101"/>
    </row>
    <row r="25" spans="1:5" ht="48" customHeight="1" x14ac:dyDescent="0.3">
      <c r="A25" s="28" t="s">
        <v>666</v>
      </c>
      <c r="B25" s="122" t="s">
        <v>667</v>
      </c>
      <c r="C25" s="101"/>
      <c r="D25" s="101"/>
      <c r="E25" s="101"/>
    </row>
    <row r="26" spans="1:5" ht="48" customHeight="1" x14ac:dyDescent="0.3">
      <c r="A26" s="28" t="s">
        <v>668</v>
      </c>
      <c r="B26" s="122" t="s">
        <v>669</v>
      </c>
      <c r="C26" s="101"/>
      <c r="D26" s="101"/>
      <c r="E26" s="101"/>
    </row>
    <row r="27" spans="1:5" ht="48" customHeight="1" x14ac:dyDescent="0.3">
      <c r="A27" s="28" t="s">
        <v>670</v>
      </c>
      <c r="B27" s="122" t="s">
        <v>671</v>
      </c>
      <c r="C27" s="101"/>
      <c r="D27" s="101"/>
      <c r="E27" s="101"/>
    </row>
    <row r="28" spans="1:5" ht="48" customHeight="1" x14ac:dyDescent="0.3">
      <c r="A28" s="28" t="s">
        <v>672</v>
      </c>
      <c r="B28" s="122" t="s">
        <v>673</v>
      </c>
      <c r="C28" s="101"/>
      <c r="D28" s="101"/>
      <c r="E28" s="101"/>
    </row>
  </sheetData>
  <sheetProtection sheet="1" formatColumns="0" formatRows="0"/>
  <mergeCells count="8">
    <mergeCell ref="B19:E19"/>
    <mergeCell ref="B20:E20"/>
    <mergeCell ref="B28:E28"/>
    <mergeCell ref="B26:E26"/>
    <mergeCell ref="B27:E27"/>
    <mergeCell ref="B21:E21"/>
    <mergeCell ref="B25:E25"/>
    <mergeCell ref="B24:E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 Thành Phan</cp:lastModifiedBy>
  <cp:revision>0</cp:revision>
  <cp:lastPrinted>2026-10-12T04:59:42Z</cp:lastPrinted>
  <dcterms:created xsi:type="dcterms:W3CDTF">2026-10-04T05:18:06Z</dcterms:created>
  <dcterms:modified xsi:type="dcterms:W3CDTF">2026-10-12T05:02:36Z</dcterms:modified>
  <dc:language>en-US</dc:language>
</cp:coreProperties>
</file>